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b7ab22398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dc11e57fda5412a"/>
    <x:sheet xmlns:r="http://schemas.openxmlformats.org/officeDocument/2006/relationships" name="Assumptions" sheetId="2" r:id="R629d212acc664c0e"/>
    <x:sheet xmlns:r="http://schemas.openxmlformats.org/officeDocument/2006/relationships" name="Operating model" sheetId="3" r:id="R9015b810bae246bd"/>
    <x:sheet xmlns:r="http://schemas.openxmlformats.org/officeDocument/2006/relationships" name="Source actuals" sheetId="4" r:id="R48e913151812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&quot;$&quot;#,##0.000;(&quot;$&quot;#,##0.000);&quot;-&quot;"/>
    <x:numFmt numFmtId="201" formatCode="#,##0;(#,##0);&quot;-&quot;"/>
    <x:numFmt numFmtId="202" formatCode="&quot;$&quot;#,##0.00;(&quot;$&quot;#,##0.00);&quot;-&quot;"/>
    <x:numFmt numFmtId="203" formatCode="0.0%;(0.0%);&quot;-&quot;"/>
    <x:numFmt numFmtId="204" formatCode="&quot;$&quot;#,##0.0;(&quot;$&quot;#,##0.0);&quot;-&quot;"/>
    <x:numFmt numFmtId="205" formatCode="&quot;$&quot;#,##0.0;(&quot;$&quot;#,##0.0);-"/>
    <x:numFmt numFmtId="206" formatCode="0.0%;(0.0%);-"/>
    <x:numFmt numFmtId="207" formatCode="#,##0;(#,##0);-"/>
    <x:numFmt numFmtId="208" formatCode="#,##0.0;(#,##0.0);-"/>
    <x:numFmt numFmtId="209" formatCode=";;;"/>
  </x:numFmts>
  <x:fonts count="25">
    <x:font>
      <x:sz val="11"/>
      <x:name val="Carlito"/>
    </x:font>
    <x:font>
      <x:sz val="10"/>
      <x:color rgb="FF1C2933"/>
      <x:name val="Arial"/>
    </x:font>
    <x:font>
      <x:b/>
      <x:sz val="10"/>
      <x:color rgb="FF1C2933"/>
      <x:name val="Arial"/>
    </x:font>
    <x:font>
      <x:sz val="10"/>
      <x:color rgb="FF1F5AA6"/>
      <x:name val="Arial"/>
    </x:font>
    <x:font>
      <x:b/>
      <x:sz val="10"/>
      <x:color rgb="FF1F5AA6"/>
      <x:name val="Arial"/>
    </x:font>
    <x:font>
      <x:b/>
      <x:sz val="10"/>
      <x:color rgb="FF147D52"/>
      <x:name val="Arial"/>
    </x:font>
    <x:font>
      <x:b/>
      <x:sz val="15"/>
      <x:color rgb="FF16324F"/>
      <x:name val="Arial"/>
    </x:font>
    <x:font>
      <x:i/>
      <x:sz val="10"/>
      <x:color rgb="FF566A78"/>
      <x:name val="Arial"/>
    </x:font>
    <x:font>
      <x:b/>
      <x:sz val="10"/>
      <x:color rgb="FFFFFFFF"/>
      <x:name val="Arial"/>
    </x:font>
    <x:font>
      <x:i/>
      <x:sz val="10"/>
      <x:color rgb="FF1C2933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  <x:font>
      <x:i/>
      <x:sz val="10"/>
      <x:color rgb="FF1F2933"/>
      <x:name val="Arial"/>
    </x:font>
    <x:font>
      <x:b/>
      <x:sz val="14"/>
      <x:color rgb="FF17365D"/>
      <x:name val="Arial"/>
    </x:font>
    <x:font>
      <x:i/>
      <x:sz val="10"/>
      <x:color rgb="FF5B6B7A"/>
      <x:name val="Arial"/>
    </x:font>
    <x:font>
      <x:b/>
      <x:sz val="10"/>
      <x:color rgb="FF000000"/>
      <x:name val="Arial"/>
    </x:font>
    <x:font>
      <x:b/>
      <x:sz val="10"/>
      <x:color rgb="FF008000"/>
      <x:name val="Arial"/>
    </x:font>
    <x:font>
      <x:b/>
      <x:i/>
      <x:sz val="10"/>
      <x:color rgb="FF000000"/>
      <x:name val="Arial"/>
    </x:font>
    <x:font>
      <x:sz val="9"/>
      <x:color rgb="FF5B6B7A"/>
      <x:name val="Arial"/>
    </x:font>
    <x:font>
      <x:sz val="8"/>
      <x:color rgb="FFFFFFFF"/>
      <x:name val="Arial"/>
    </x:font>
    <x:font>
      <x:b/>
      <x:sz val="10"/>
      <x:color rgb="FF0000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i/>
      <x:sz val="10"/>
      <x:color rgb="FF008000"/>
      <x:name val="Arial"/>
    </x:font>
    <x:font>
      <x:sz val="9"/>
      <x:color rgb="FF0000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AF2F5"/>
      </x:patternFill>
    </x:fill>
    <x:fill>
      <x:patternFill patternType="solid">
        <x:fgColor rgb="FF16324F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dotted">
        <x:color rgb="FF7F7F7F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rgb="FF000000"/>
      </x:top>
      <x:bottom style="double">
        <x:color rgb="FF000000"/>
      </x:bottom>
      <x:diagonal/>
    </x:border>
    <x:border>
      <x:left/>
      <x:right/>
      <x:top/>
      <x:bottom style="dotted">
        <x:color rgb="FFD9E1E8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2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2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8" fillId="3" borderId="0" xfId="0" applyNumberFormat="1" applyFont="1" applyFill="1" applyBorder="1" applyAlignment="1">
      <x:alignment horizontal="right" vertical="center"/>
    </x:xf>
    <x:xf numFmtId="202" fontId="2" fillId="4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1" fontId="2" fillId="4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2" fillId="4" borderId="0" xfId="0" applyNumberFormat="1" applyFont="1" applyFill="1" applyBorder="1" applyAlignment="1">
      <x:alignment horizontal="right" vertical="center"/>
    </x:xf>
    <x:xf numFmtId="0" fontId="2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2" fontId="2" fillId="2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4" fontId="9" fillId="0" borderId="0" xfId="0" applyNumberFormat="1" applyFont="1" applyFill="1" applyBorder="1" applyAlignment="1">
      <x:alignment horizontal="right" vertical="center"/>
    </x:xf>
    <x:xf numFmtId="203" fontId="9" fillId="0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horizontal="right" vertical="center"/>
    </x:xf>
    <x:xf numFmtId="0" fontId="2" fillId="5" borderId="0" xfId="0" applyNumberFormat="1" applyFont="1" applyFill="1" applyBorder="1" applyAlignment="1">
      <x:alignment vertical="center"/>
    </x:xf>
    <x:xf numFmtId="202" fontId="2" fillId="5" borderId="0" xfId="0" applyNumberFormat="1" applyFont="1" applyFill="1" applyBorder="1" applyAlignment="1">
      <x:alignment horizontal="right" vertical="center"/>
    </x:xf>
    <x:xf numFmtId="0" fontId="9" fillId="5" borderId="0" xfId="0" applyNumberFormat="1" applyFont="1" applyFill="1" applyBorder="1" applyAlignment="1">
      <x:alignment vertical="center"/>
    </x:xf>
    <x:xf numFmtId="203" fontId="9" fillId="5" borderId="0" xfId="0" applyNumberFormat="1" applyFont="1" applyFill="1" applyBorder="1" applyAlignment="1">
      <x:alignment horizontal="right" vertical="center"/>
    </x:xf>
    <x:xf numFmtId="201" fontId="2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center" vertical="center"/>
    </x:xf>
    <x:xf numFmtId="203" fontId="2" fillId="5" borderId="0" xfId="0" applyNumberFormat="1" applyFont="1" applyFill="1" applyBorder="1" applyAlignment="1">
      <x:alignment horizontal="right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/>
    <x:xf numFmtId="0" fontId="12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horizontal="right" vertical="center"/>
    </x:xf>
    <x:xf numFmtId="0" fontId="11" fillId="5" borderId="0" xfId="0" applyNumberFormat="1" applyFont="1" applyFill="1" applyBorder="1" applyAlignment="1">
      <x:alignment horizontal="right" vertical="center"/>
    </x:xf>
    <x:xf numFmtId="202" fontId="10" fillId="5" borderId="0" xfId="0" applyNumberFormat="1" applyFont="1" applyFill="1" applyBorder="1" applyAlignment="1">
      <x:alignment horizontal="right" vertical="center"/>
    </x:xf>
    <x:xf numFmtId="203" fontId="12" fillId="5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2" fontId="11" fillId="5" borderId="0" xfId="0" applyNumberFormat="1" applyFont="1" applyFill="1" applyBorder="1" applyAlignment="1">
      <x:alignment horizontal="right" vertical="center"/>
    </x:xf>
    <x:xf numFmtId="203" fontId="11" fillId="5" borderId="0" xfId="0" applyNumberFormat="1" applyFont="1" applyFill="1" applyBorder="1" applyAlignment="1">
      <x:alignment horizontal="right" vertical="center"/>
    </x:xf>
    <x:xf numFmtId="0" fontId="11" fillId="5" borderId="0" xfId="0" applyNumberFormat="1" applyFont="1" applyFill="1" applyBorder="1" applyAlignment="1">
      <x:alignment horizontal="center" vertical="center"/>
    </x:xf>
    <x:xf numFmtId="203" fontId="10" fillId="5" borderId="0" xfId="0" applyNumberFormat="1" applyFont="1" applyFill="1" applyBorder="1" applyAlignment="1">
      <x:alignment horizontal="right" vertic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vertical="center" wrapText="0"/>
    </x:xf>
    <x:xf numFmtId="0" fontId="11" fillId="5" borderId="0" xfId="0" applyNumberFormat="1" applyFont="1" applyFill="1" applyBorder="1" applyAlignment="1">
      <x:alignment vertical="center" wrapText="0"/>
    </x:xf>
    <x:xf numFmtId="0" fontId="12" fillId="5" borderId="0" xfId="0" applyNumberFormat="1" applyFont="1" applyFill="1" applyBorder="1" applyAlignment="1">
      <x:alignment vertical="center" wrapText="0"/>
    </x:xf>
    <x:xf numFmtId="0" fontId="10" fillId="5" borderId="0" xfId="0" applyNumberFormat="1" applyFont="1" applyFill="1" applyBorder="1" applyAlignment="1">
      <x:alignment horizontal="right" vertical="center" wrapText="0"/>
    </x:xf>
    <x:xf numFmtId="0" fontId="11" fillId="5" borderId="0" xfId="0" applyNumberFormat="1" applyFont="1" applyFill="1" applyBorder="1" applyAlignment="1">
      <x:alignment horizontal="right" vertical="center" wrapText="0"/>
    </x:xf>
    <x:xf numFmtId="202" fontId="10" fillId="5" borderId="0" xfId="0" applyNumberFormat="1" applyFont="1" applyFill="1" applyBorder="1" applyAlignment="1">
      <x:alignment horizontal="right" vertical="center" wrapText="0"/>
    </x:xf>
    <x:xf numFmtId="203" fontId="12" fillId="5" borderId="0" xfId="0" applyNumberFormat="1" applyFont="1" applyFill="1" applyBorder="1" applyAlignment="1">
      <x:alignment horizontal="right" vertical="center" wrapText="0"/>
    </x:xf>
    <x:xf numFmtId="201" fontId="10" fillId="5" borderId="0" xfId="0" applyNumberFormat="1" applyFont="1" applyFill="1" applyBorder="1" applyAlignment="1">
      <x:alignment horizontal="right" vertical="center" wrapText="0"/>
    </x:xf>
    <x:xf numFmtId="202" fontId="11" fillId="5" borderId="0" xfId="0" applyNumberFormat="1" applyFont="1" applyFill="1" applyBorder="1" applyAlignment="1">
      <x:alignment horizontal="right" vertical="center" wrapText="0"/>
    </x:xf>
    <x:xf numFmtId="203" fontId="11" fillId="5" borderId="0" xfId="0" applyNumberFormat="1" applyFont="1" applyFill="1" applyBorder="1" applyAlignment="1">
      <x:alignment horizontal="right" vertical="center" wrapText="0"/>
    </x:xf>
    <x:xf numFmtId="0" fontId="11" fillId="5" borderId="0" xfId="0" applyNumberFormat="1" applyFont="1" applyFill="1" applyBorder="1" applyAlignment="1">
      <x:alignment horizontal="center" vertical="center" wrapText="0"/>
    </x:xf>
    <x:xf numFmtId="203" fontId="10" fillId="5" borderId="0" xfId="0" applyNumberFormat="1" applyFont="1" applyFill="1" applyBorder="1" applyAlignment="1">
      <x:alignment horizontal="right" vertical="center" wrapText="0"/>
    </x:xf>
    <x:xf numFmtId="0" fontId="10" fillId="5" borderId="0" xfId="0" applyNumberFormat="1" applyFont="1" applyFill="1" applyBorder="1" applyAlignment="1">
      <x:alignment horizontal="center" vertical="center" wrapText="0"/>
    </x:xf>
    <x:xf numFmtId="0" fontId="13" fillId="5" borderId="0" xfId="0" applyNumberFormat="1" applyFont="1" applyFill="1" applyBorder="1" applyAlignment="1">
      <x:alignment vertical="center" wrapText="0"/>
    </x:xf>
    <x:xf numFmtId="0" fontId="14" fillId="5" borderId="0" xfId="0" applyNumberFormat="1" applyFont="1" applyFill="1" applyBorder="1" applyAlignment="1">
      <x:alignment vertical="center" wrapText="0"/>
    </x:xf>
    <x:xf numFmtId="0" fontId="15" fillId="5" borderId="0" xfId="0" applyNumberFormat="1" applyFont="1" applyFill="1" applyBorder="1" applyAlignment="1">
      <x:alignment vertical="center" wrapText="0"/>
    </x:xf>
    <x:xf numFmtId="0" fontId="16" fillId="5" borderId="0" xfId="0" applyNumberFormat="1" applyFont="1" applyFill="1" applyBorder="1" applyAlignment="1">
      <x:alignment horizontal="right" vertical="center" wrapText="0"/>
    </x:xf>
    <x:xf numFmtId="0" fontId="15" fillId="5" borderId="1" xfId="0" applyNumberFormat="1" applyFont="1" applyFill="1" applyBorder="1" applyAlignment="1">
      <x:alignment vertical="center" wrapText="0"/>
    </x:xf>
    <x:xf numFmtId="0" fontId="16" fillId="5" borderId="1" xfId="0" applyNumberFormat="1" applyFont="1" applyFill="1" applyBorder="1" applyAlignment="1">
      <x:alignment horizontal="right" vertical="center" wrapText="0"/>
    </x:xf>
    <x:xf numFmtId="0" fontId="17" fillId="5" borderId="0" xfId="0" applyNumberFormat="1" applyFont="1" applyFill="1" applyBorder="1" applyAlignment="1">
      <x:alignment vertical="center" wrapText="0"/>
    </x:xf>
    <x:xf numFmtId="0" fontId="17" fillId="5" borderId="0" xfId="0" applyNumberFormat="1" applyFont="1" applyFill="1" applyBorder="1" applyAlignment="1">
      <x:alignment horizontal="right" vertical="center" wrapText="0"/>
    </x:xf>
    <x:xf numFmtId="0" fontId="17" fillId="5" borderId="0" xfId="0" applyNumberFormat="1" applyFont="1" applyFill="1" applyBorder="1" applyAlignment="1">
      <x:alignment horizontal="center" vertical="center" wrapText="0"/>
    </x:xf>
    <x:xf numFmtId="0" fontId="17" fillId="5" borderId="2" xfId="0" applyNumberFormat="1" applyFont="1" applyFill="1" applyBorder="1" applyAlignment="1">
      <x:alignment horizontal="center" vertical="center" wrapText="0"/>
    </x:xf>
    <x:xf numFmtId="0" fontId="17" fillId="5" borderId="2" xfId="0" applyNumberFormat="1" applyFont="1" applyFill="1" applyBorder="1" applyAlignment="1">
      <x:alignment horizontal="left" vertical="center" wrapText="0"/>
    </x:xf>
    <x:xf numFmtId="202" fontId="15" fillId="5" borderId="0" xfId="0" applyNumberFormat="1" applyFont="1" applyFill="1" applyBorder="1" applyAlignment="1">
      <x:alignment horizontal="right" vertical="center" wrapText="0"/>
    </x:xf>
    <x:xf numFmtId="0" fontId="10" fillId="6" borderId="0" xfId="0" applyNumberFormat="1" applyFont="1" applyFill="1" applyBorder="1" applyAlignment="1">
      <x:alignment vertical="center" wrapText="0"/>
    </x:xf>
    <x:xf numFmtId="202" fontId="10" fillId="6" borderId="0" xfId="0" applyNumberFormat="1" applyFont="1" applyFill="1" applyBorder="1" applyAlignment="1">
      <x:alignment horizontal="right" vertical="center" wrapText="0"/>
    </x:xf>
    <x:xf numFmtId="0" fontId="15" fillId="6" borderId="0" xfId="0" applyNumberFormat="1" applyFont="1" applyFill="1" applyBorder="1" applyAlignment="1">
      <x:alignment vertical="center" wrapText="0"/>
    </x:xf>
    <x:xf numFmtId="202" fontId="15" fillId="6" borderId="0" xfId="0" applyNumberFormat="1" applyFont="1" applyFill="1" applyBorder="1" applyAlignment="1">
      <x:alignment horizontal="right" vertical="center" wrapText="0"/>
    </x:xf>
    <x:xf numFmtId="0" fontId="15" fillId="6" borderId="3" xfId="0" applyNumberFormat="1" applyFont="1" applyFill="1" applyBorder="1" applyAlignment="1">
      <x:alignment vertical="center" wrapText="0"/>
    </x:xf>
    <x:xf numFmtId="202" fontId="15" fillId="6" borderId="3" xfId="0" applyNumberFormat="1" applyFont="1" applyFill="1" applyBorder="1" applyAlignment="1">
      <x:alignment horizontal="right" vertical="center" wrapText="0"/>
    </x:xf>
    <x:xf numFmtId="201" fontId="15" fillId="5" borderId="0" xfId="0" applyNumberFormat="1" applyFont="1" applyFill="1" applyBorder="1" applyAlignment="1">
      <x:alignment horizontal="right" vertical="center" wrapText="0"/>
    </x:xf>
    <x:xf numFmtId="205" fontId="15" fillId="5" borderId="0" xfId="0" applyNumberFormat="1" applyFont="1" applyFill="1" applyBorder="1" applyAlignment="1">
      <x:alignment horizontal="right" vertical="center" wrapText="0"/>
    </x:xf>
    <x:xf numFmtId="206" fontId="12" fillId="5" borderId="0" xfId="0" applyNumberFormat="1" applyFont="1" applyFill="1" applyBorder="1" applyAlignment="1">
      <x:alignment horizontal="right" vertical="center" wrapText="0"/>
    </x:xf>
    <x:xf numFmtId="205" fontId="15" fillId="6" borderId="3" xfId="0" applyNumberFormat="1" applyFont="1" applyFill="1" applyBorder="1" applyAlignment="1">
      <x:alignment horizontal="right" vertical="center" wrapText="0"/>
    </x:xf>
    <x:xf numFmtId="207" fontId="15" fillId="5" borderId="0" xfId="0" applyNumberFormat="1" applyFont="1" applyFill="1" applyBorder="1" applyAlignment="1">
      <x:alignment horizontal="right" vertical="center" wrapText="0"/>
    </x:xf>
    <x:xf numFmtId="205" fontId="11" fillId="5" borderId="0" xfId="0" applyNumberFormat="1" applyFont="1" applyFill="1" applyBorder="1" applyAlignment="1">
      <x:alignment horizontal="right" vertical="center" wrapText="0"/>
    </x:xf>
    <x:xf numFmtId="0" fontId="11" fillId="5" borderId="4" xfId="0" applyNumberFormat="1" applyFont="1" applyFill="1" applyBorder="1" applyAlignment="1">
      <x:alignment vertical="center" wrapText="0"/>
    </x:xf>
    <x:xf numFmtId="205" fontId="11" fillId="5" borderId="4" xfId="0" applyNumberFormat="1" applyFont="1" applyFill="1" applyBorder="1" applyAlignment="1">
      <x:alignment horizontal="right" vertical="center" wrapText="0"/>
    </x:xf>
    <x:xf numFmtId="203" fontId="15" fillId="5" borderId="0" xfId="0" applyNumberFormat="1" applyFont="1" applyFill="1" applyBorder="1" applyAlignment="1">
      <x:alignment horizontal="right" vertical="center" wrapText="0"/>
    </x:xf>
    <x:xf numFmtId="0" fontId="15" fillId="5" borderId="0" xfId="0" applyNumberFormat="1" applyFont="1" applyFill="1" applyBorder="1" applyAlignment="1">
      <x:alignment horizontal="center" vertical="center" wrapText="0"/>
    </x:xf>
    <x:xf numFmtId="203" fontId="10" fillId="6" borderId="0" xfId="0" applyNumberFormat="1" applyFont="1" applyFill="1" applyBorder="1" applyAlignment="1">
      <x:alignment horizontal="right" vertical="center" wrapText="0"/>
    </x:xf>
    <x:xf numFmtId="0" fontId="10" fillId="6" borderId="0" xfId="0" applyNumberFormat="1" applyFont="1" applyFill="1" applyBorder="1" applyAlignment="1">
      <x:alignment horizontal="center" vertical="center" wrapText="0"/>
    </x:xf>
    <x:xf numFmtId="203" fontId="15" fillId="6" borderId="0" xfId="0" applyNumberFormat="1" applyFont="1" applyFill="1" applyBorder="1" applyAlignment="1">
      <x:alignment horizontal="right" vertical="center" wrapText="0"/>
    </x:xf>
    <x:xf numFmtId="0" fontId="15" fillId="6" borderId="0" xfId="0" applyNumberFormat="1" applyFont="1" applyFill="1" applyBorder="1" applyAlignment="1">
      <x:alignment horizontal="center" vertical="center" wrapText="0"/>
    </x:xf>
    <x:xf numFmtId="203" fontId="15" fillId="6" borderId="3" xfId="0" applyNumberFormat="1" applyFont="1" applyFill="1" applyBorder="1" applyAlignment="1">
      <x:alignment horizontal="right" vertical="center" wrapText="0"/>
    </x:xf>
    <x:xf numFmtId="0" fontId="15" fillId="6" borderId="3" xfId="0" applyNumberFormat="1" applyFont="1" applyFill="1" applyBorder="1" applyAlignment="1">
      <x:alignment horizontal="center" vertical="center" wrapText="0"/>
    </x:xf>
    <x:xf numFmtId="208" fontId="11" fillId="5" borderId="0" xfId="0" applyNumberFormat="1" applyFont="1" applyFill="1" applyBorder="1" applyAlignment="1">
      <x:alignment horizontal="right" vertical="center" wrapText="0"/>
    </x:xf>
    <x:xf numFmtId="206" fontId="15" fillId="5" borderId="0" xfId="0" applyNumberFormat="1" applyFont="1" applyFill="1" applyBorder="1" applyAlignment="1">
      <x:alignment horizontal="right" vertical="center" wrapText="0"/>
    </x:xf>
    <x:xf numFmtId="206" fontId="11" fillId="5" borderId="0" xfId="0" applyNumberFormat="1" applyFont="1" applyFill="1" applyBorder="1" applyAlignment="1">
      <x:alignment horizontal="right" vertical="center" wrapText="0"/>
    </x:xf>
    <x:xf numFmtId="206" fontId="15" fillId="6" borderId="3" xfId="0" applyNumberFormat="1" applyFont="1" applyFill="1" applyBorder="1" applyAlignment="1">
      <x:alignment horizontal="right" vertical="center" wrapText="0"/>
    </x:xf>
    <x:xf numFmtId="0" fontId="15" fillId="6" borderId="5" xfId="0" applyNumberFormat="1" applyFont="1" applyFill="1" applyBorder="1" applyAlignment="1">
      <x:alignment vertical="center" wrapText="0"/>
    </x:xf>
    <x:xf numFmtId="202" fontId="15" fillId="6" borderId="5" xfId="0" applyNumberFormat="1" applyFont="1" applyFill="1" applyBorder="1" applyAlignment="1">
      <x:alignment horizontal="right" vertical="center" wrapText="0"/>
    </x:xf>
    <x:xf numFmtId="205" fontId="15" fillId="6" borderId="5" xfId="0" applyNumberFormat="1" applyFont="1" applyFill="1" applyBorder="1" applyAlignment="1">
      <x:alignment horizontal="right" vertical="center" wrapText="0"/>
    </x:xf>
    <x:xf numFmtId="0" fontId="15" fillId="5" borderId="3" xfId="0" applyNumberFormat="1" applyFont="1" applyFill="1" applyBorder="1" applyAlignment="1">
      <x:alignment vertical="center" wrapText="0"/>
    </x:xf>
    <x:xf numFmtId="202" fontId="15" fillId="5" borderId="3" xfId="0" applyNumberFormat="1" applyFont="1" applyFill="1" applyBorder="1" applyAlignment="1">
      <x:alignment horizontal="right" vertical="center" wrapText="0"/>
    </x:xf>
    <x:xf numFmtId="205" fontId="15" fillId="5" borderId="3" xfId="0" applyNumberFormat="1" applyFont="1" applyFill="1" applyBorder="1" applyAlignment="1">
      <x:alignment horizontal="right" vertical="center" wrapText="0"/>
    </x:xf>
    <x:xf numFmtId="0" fontId="18" fillId="5" borderId="0" xfId="0" applyNumberFormat="1" applyFont="1" applyFill="1" applyBorder="1" applyAlignment="1">
      <x:alignment vertical="center" wrapText="0"/>
    </x:xf>
    <x:xf numFmtId="0" fontId="18" fillId="5" borderId="0" xfId="0" applyNumberFormat="1" applyFont="1" applyFill="1" applyBorder="1" applyAlignment="1">
      <x:alignment horizontal="right" vertical="center" wrapText="0"/>
    </x:xf>
    <x:xf numFmtId="209" fontId="11" fillId="5" borderId="0" xfId="0" applyNumberFormat="1" applyFont="1" applyFill="1" applyBorder="1" applyAlignment="1">
      <x:alignment vertical="center" wrapText="0"/>
    </x:xf>
    <x:xf numFmtId="209" fontId="0" fillId="0" borderId="0" xfId="0" applyNumberFormat="1" applyFont="1" applyFill="1" applyBorder="1"/>
    <x:xf numFmtId="209" fontId="19" fillId="5" borderId="0" xfId="0" applyNumberFormat="1" applyFont="1" applyFill="1" applyBorder="1" applyAlignment="1">
      <x:alignment vertical="center" wrapText="0"/>
    </x:xf>
    <x:xf numFmtId="209" fontId="19" fillId="0" borderId="0" xfId="0" applyNumberFormat="1" applyFont="1" applyFill="1" applyBorder="1"/>
    <x:xf numFmtId="209" fontId="19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1" fontId="2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vertical="center"/>
    </x:xf>
    <x:xf numFmtId="203" fontId="2" fillId="5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202" fontId="2" fillId="5" borderId="0" xfId="0" applyNumberFormat="1" applyFont="1" applyFill="1" applyBorder="1" applyAlignment="1">
      <x:alignment vertical="center"/>
    </x:xf>
    <x:xf numFmtId="202" fontId="3" fillId="5" borderId="0" xfId="0" applyNumberFormat="1" applyFont="1" applyFill="1" applyBorder="1" applyAlignment="1">
      <x:alignment vertical="center"/>
    </x:xf>
    <x:xf numFmtId="201" fontId="11" fillId="5" borderId="0" xfId="0" applyNumberFormat="1" applyFont="1" applyFill="1" applyBorder="1" applyAlignment="1">
      <x:alignment vertical="center"/>
    </x:xf>
    <x:xf numFmtId="202" fontId="1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 wrapText="1"/>
    </x:xf>
    <x:xf numFmtId="201" fontId="10" fillId="5" borderId="0" xfId="0" applyNumberFormat="1" applyFont="1" applyFill="1" applyBorder="1" applyAlignment="1">
      <x:alignment vertical="center"/>
    </x:xf>
    <x:xf numFmtId="203" fontId="10" fillId="5" borderId="0" xfId="0" applyNumberFormat="1" applyFont="1" applyFill="1" applyBorder="1" applyAlignment="1">
      <x:alignment vertical="center"/>
    </x:xf>
    <x:xf numFmtId="203" fontId="11" fillId="5" borderId="0" xfId="0" applyNumberFormat="1" applyFont="1" applyFill="1" applyBorder="1" applyAlignment="1">
      <x:alignment vertical="center"/>
    </x:xf>
    <x:xf numFmtId="202" fontId="10" fillId="5" borderId="0" xfId="0" applyNumberFormat="1" applyFont="1" applyFill="1" applyBorder="1" applyAlignment="1">
      <x:alignment vertical="center"/>
    </x:xf>
    <x:xf numFmtId="201" fontId="11" fillId="5" borderId="0" xfId="0" applyNumberFormat="1" applyFont="1" applyFill="1" applyBorder="1" applyAlignment="1">
      <x:alignment vertical="center" wrapText="0"/>
    </x:xf>
    <x:xf numFmtId="202" fontId="11" fillId="5" borderId="0" xfId="0" applyNumberFormat="1" applyFont="1" applyFill="1" applyBorder="1" applyAlignment="1">
      <x:alignment vertical="center" wrapText="0"/>
    </x:xf>
    <x:xf numFmtId="201" fontId="10" fillId="5" borderId="0" xfId="0" applyNumberFormat="1" applyFont="1" applyFill="1" applyBorder="1" applyAlignment="1">
      <x:alignment vertical="center" wrapText="0"/>
    </x:xf>
    <x:xf numFmtId="203" fontId="10" fillId="5" borderId="0" xfId="0" applyNumberFormat="1" applyFont="1" applyFill="1" applyBorder="1" applyAlignment="1">
      <x:alignment vertical="center" wrapText="0"/>
    </x:xf>
    <x:xf numFmtId="203" fontId="11" fillId="5" borderId="0" xfId="0" applyNumberFormat="1" applyFont="1" applyFill="1" applyBorder="1" applyAlignment="1">
      <x:alignment vertical="center" wrapText="0"/>
    </x:xf>
    <x:xf numFmtId="202" fontId="10" fillId="5" borderId="0" xfId="0" applyNumberFormat="1" applyFont="1" applyFill="1" applyBorder="1" applyAlignment="1">
      <x:alignment vertical="center" wrapText="0"/>
    </x:xf>
    <x:xf numFmtId="0" fontId="20" fillId="5" borderId="0" xfId="0" applyNumberFormat="1" applyFont="1" applyFill="1" applyBorder="1" applyAlignment="1">
      <x:alignment vertical="center" wrapText="0"/>
    </x:xf>
    <x:xf numFmtId="0" fontId="16" fillId="5" borderId="0" xfId="0" applyNumberFormat="1" applyFont="1" applyFill="1" applyBorder="1" applyAlignment="1">
      <x:alignment vertical="center" wrapText="0"/>
    </x:xf>
    <x:xf numFmtId="0" fontId="20" fillId="5" borderId="1" xfId="0" applyNumberFormat="1" applyFont="1" applyFill="1" applyBorder="1" applyAlignment="1">
      <x:alignment vertical="center" wrapText="0"/>
    </x:xf>
    <x:xf numFmtId="0" fontId="11" fillId="5" borderId="1" xfId="0" applyNumberFormat="1" applyFont="1" applyFill="1" applyBorder="1" applyAlignment="1">
      <x:alignment vertical="center" wrapText="0"/>
    </x:xf>
    <x:xf numFmtId="0" fontId="16" fillId="5" borderId="1" xfId="0" applyNumberFormat="1" applyFont="1" applyFill="1" applyBorder="1" applyAlignment="1">
      <x:alignment vertical="center" wrapText="0"/>
    </x:xf>
    <x:xf numFmtId="201" fontId="21" fillId="5" borderId="0" xfId="0" applyNumberFormat="1" applyFont="1" applyFill="1" applyBorder="1" applyAlignment="1">
      <x:alignment vertical="center" wrapText="0"/>
    </x:xf>
    <x:xf numFmtId="202" fontId="21" fillId="5" borderId="0" xfId="0" applyNumberFormat="1" applyFont="1" applyFill="1" applyBorder="1" applyAlignment="1">
      <x:alignment vertical="center" wrapText="0"/>
    </x:xf>
    <x:xf numFmtId="207" fontId="21" fillId="5" borderId="0" xfId="0" applyNumberFormat="1" applyFont="1" applyFill="1" applyBorder="1" applyAlignment="1">
      <x:alignment vertical="center" wrapText="0"/>
    </x:xf>
    <x:xf numFmtId="205" fontId="21" fillId="5" borderId="0" xfId="0" applyNumberFormat="1" applyFont="1" applyFill="1" applyBorder="1" applyAlignment="1">
      <x:alignment vertical="center" wrapText="0"/>
    </x:xf>
    <x:xf numFmtId="208" fontId="21" fillId="5" borderId="0" xfId="0" applyNumberFormat="1" applyFont="1" applyFill="1" applyBorder="1" applyAlignment="1">
      <x:alignment vertical="center" wrapText="0"/>
    </x:xf>
    <x:xf numFmtId="201" fontId="10" fillId="6" borderId="0" xfId="0" applyNumberFormat="1" applyFont="1" applyFill="1" applyBorder="1" applyAlignment="1">
      <x:alignment vertical="center" wrapText="0"/>
    </x:xf>
    <x:xf numFmtId="201" fontId="15" fillId="6" borderId="0" xfId="0" applyNumberFormat="1" applyFont="1" applyFill="1" applyBorder="1" applyAlignment="1">
      <x:alignment vertical="center" wrapText="0"/>
    </x:xf>
    <x:xf numFmtId="201" fontId="15" fillId="6" borderId="5" xfId="0" applyNumberFormat="1" applyFont="1" applyFill="1" applyBorder="1" applyAlignment="1">
      <x:alignment vertical="center" wrapText="0"/>
    </x:xf>
    <x:xf numFmtId="203" fontId="10" fillId="6" borderId="0" xfId="0" applyNumberFormat="1" applyFont="1" applyFill="1" applyBorder="1" applyAlignment="1">
      <x:alignment vertical="center" wrapText="0"/>
    </x:xf>
    <x:xf numFmtId="203" fontId="15" fillId="6" borderId="0" xfId="0" applyNumberFormat="1" applyFont="1" applyFill="1" applyBorder="1" applyAlignment="1">
      <x:alignment vertical="center" wrapText="0"/>
    </x:xf>
    <x:xf numFmtId="203" fontId="15" fillId="6" borderId="5" xfId="0" applyNumberFormat="1" applyFont="1" applyFill="1" applyBorder="1" applyAlignment="1">
      <x:alignment vertical="center" wrapText="0"/>
    </x:xf>
    <x:xf numFmtId="202" fontId="10" fillId="6" borderId="0" xfId="0" applyNumberFormat="1" applyFont="1" applyFill="1" applyBorder="1" applyAlignment="1">
      <x:alignment vertical="center" wrapText="0"/>
    </x:xf>
    <x:xf numFmtId="202" fontId="15" fillId="6" borderId="0" xfId="0" applyNumberFormat="1" applyFont="1" applyFill="1" applyBorder="1" applyAlignment="1">
      <x:alignment vertical="center" wrapText="0"/>
    </x:xf>
    <x:xf numFmtId="202" fontId="15" fillId="6" borderId="5" xfId="0" applyNumberFormat="1" applyFont="1" applyFill="1" applyBorder="1" applyAlignment="1">
      <x:alignment vertical="center" wrapText="0"/>
    </x:xf>
    <x:xf numFmtId="203" fontId="21" fillId="5" borderId="0" xfId="0" applyNumberFormat="1" applyFont="1" applyFill="1" applyBorder="1" applyAlignment="1">
      <x:alignment vertical="center" wrapText="0"/>
    </x:xf>
    <x:xf numFmtId="207" fontId="15" fillId="6" borderId="5" xfId="0" applyNumberFormat="1" applyFont="1" applyFill="1" applyBorder="1" applyAlignment="1">
      <x:alignment vertical="center" wrapText="0"/>
    </x:xf>
    <x:xf numFmtId="206" fontId="15" fillId="6" borderId="5" xfId="0" applyNumberFormat="1" applyFont="1" applyFill="1" applyBorder="1" applyAlignment="1">
      <x:alignment vertical="center" wrapText="0"/>
    </x:xf>
    <x:xf numFmtId="206" fontId="21" fillId="5" borderId="0" xfId="0" applyNumberFormat="1" applyFont="1" applyFill="1" applyBorder="1" applyAlignment="1">
      <x:alignment vertical="center" wrapText="0"/>
    </x:xf>
    <x:xf numFmtId="205" fontId="15" fillId="6" borderId="5" xfId="0" applyNumberFormat="1" applyFont="1" applyFill="1" applyBorder="1" applyAlignment="1">
      <x:alignment vertical="center" wrapText="0"/>
    </x:xf>
    <x:xf numFmtId="206" fontId="11" fillId="5" borderId="0" xfId="0" applyNumberFormat="1" applyFont="1" applyFill="1" applyBorder="1" applyAlignment="1">
      <x:alignment vertical="center" wrapText="0"/>
    </x:xf>
    <x:xf numFmtId="201" fontId="1" fillId="5" borderId="0" xfId="0" applyNumberFormat="1" applyFont="1" applyFill="1" applyBorder="1" applyAlignment="1">
      <x:alignment horizontal="right" vertical="center"/>
    </x:xf>
    <x:xf numFmtId="201" fontId="9" fillId="5" borderId="0" xfId="0" applyNumberFormat="1" applyFont="1" applyFill="1" applyBorder="1" applyAlignment="1">
      <x:alignment horizontal="right" vertical="center"/>
    </x:xf>
    <x:xf numFmtId="204" fontId="9" fillId="5" borderId="0" xfId="0" applyNumberFormat="1" applyFont="1" applyFill="1" applyBorder="1" applyAlignment="1">
      <x:alignment horizontal="right" vertical="center"/>
    </x:xf>
    <x:xf numFmtId="201" fontId="11" fillId="5" borderId="0" xfId="0" applyNumberFormat="1" applyFont="1" applyFill="1" applyBorder="1" applyAlignment="1">
      <x:alignment horizontal="right" vertical="center"/>
    </x:xf>
    <x:xf numFmtId="201" fontId="12" fillId="5" borderId="0" xfId="0" applyNumberFormat="1" applyFont="1" applyFill="1" applyBorder="1" applyAlignment="1">
      <x:alignment horizontal="right" vertical="center"/>
    </x:xf>
    <x:xf numFmtId="204" fontId="12" fillId="5" borderId="0" xfId="0" applyNumberFormat="1" applyFont="1" applyFill="1" applyBorder="1" applyAlignment="1">
      <x:alignment horizontal="right" vertical="center"/>
    </x:xf>
    <x:xf numFmtId="201" fontId="11" fillId="5" borderId="0" xfId="0" applyNumberFormat="1" applyFont="1" applyFill="1" applyBorder="1" applyAlignment="1">
      <x:alignment horizontal="right" vertical="center" wrapText="0"/>
    </x:xf>
    <x:xf numFmtId="201" fontId="12" fillId="5" borderId="0" xfId="0" applyNumberFormat="1" applyFont="1" applyFill="1" applyBorder="1" applyAlignment="1">
      <x:alignment horizontal="right" vertical="center" wrapText="0"/>
    </x:xf>
    <x:xf numFmtId="204" fontId="12" fillId="5" borderId="0" xfId="0" applyNumberFormat="1" applyFont="1" applyFill="1" applyBorder="1" applyAlignment="1">
      <x:alignment horizontal="right" vertical="center" wrapText="0"/>
    </x:xf>
    <x:xf numFmtId="207" fontId="11" fillId="5" borderId="0" xfId="0" applyNumberFormat="1" applyFont="1" applyFill="1" applyBorder="1" applyAlignment="1">
      <x:alignment horizontal="right" vertical="center" wrapText="0"/>
    </x:xf>
    <x:xf numFmtId="207" fontId="12" fillId="5" borderId="0" xfId="0" applyNumberFormat="1" applyFont="1" applyFill="1" applyBorder="1" applyAlignment="1">
      <x:alignment horizontal="right" vertical="center" wrapText="0"/>
    </x:xf>
    <x:xf numFmtId="208" fontId="12" fillId="5" borderId="0" xfId="0" applyNumberFormat="1" applyFont="1" applyFill="1" applyBorder="1" applyAlignment="1">
      <x:alignment horizontal="right" vertical="center" wrapText="0"/>
    </x:xf>
    <x:xf numFmtId="207" fontId="22" fillId="5" borderId="0" xfId="0" applyNumberFormat="1" applyFont="1" applyFill="1" applyBorder="1" applyAlignment="1">
      <x:alignment horizontal="right" vertical="center" wrapText="0"/>
    </x:xf>
    <x:xf numFmtId="205" fontId="22" fillId="5" borderId="0" xfId="0" applyNumberFormat="1" applyFont="1" applyFill="1" applyBorder="1" applyAlignment="1">
      <x:alignment horizontal="right" vertical="center" wrapText="0"/>
    </x:xf>
    <x:xf numFmtId="208" fontId="22" fillId="5" borderId="0" xfId="0" applyNumberFormat="1" applyFont="1" applyFill="1" applyBorder="1" applyAlignment="1">
      <x:alignment horizontal="right" vertical="center" wrapText="0"/>
    </x:xf>
    <x:xf numFmtId="206" fontId="23" fillId="5" borderId="0" xfId="0" applyNumberFormat="1" applyFont="1" applyFill="1" applyBorder="1" applyAlignment="1">
      <x:alignment horizontal="right" vertical="center" wrapText="0"/>
    </x:xf>
    <x:xf numFmtId="200" fontId="1" fillId="5" borderId="0" xfId="0" applyNumberFormat="1" applyFont="1" applyFill="1" applyBorder="1" applyAlignment="1">
      <x:alignment horizontal="right" vertical="center"/>
    </x:xf>
    <x:xf numFmtId="0" fontId="2" fillId="5" borderId="0" xfId="0" applyNumberFormat="1" applyFont="1" applyFill="1" applyBorder="1" applyAlignment="1">
      <x:alignment horizontal="right" vertical="center"/>
    </x:xf>
    <x:xf numFmtId="200" fontId="11" fillId="5" borderId="0" xfId="0" applyNumberFormat="1" applyFont="1" applyFill="1" applyBorder="1" applyAlignment="1">
      <x:alignment horizontal="right" vertical="center"/>
    </x:xf>
    <x:xf numFmtId="200" fontId="11" fillId="5" borderId="0" xfId="0" applyNumberFormat="1" applyFont="1" applyFill="1" applyBorder="1" applyAlignment="1">
      <x:alignment horizontal="right" vertical="center" wrapText="0"/>
    </x:xf>
    <x:xf numFmtId="205" fontId="21" fillId="5" borderId="0" xfId="0" applyNumberFormat="1" applyFont="1" applyFill="1" applyBorder="1" applyAlignment="1">
      <x:alignment horizontal="right" vertical="center" wrapText="0"/>
    </x:xf>
    <x:xf numFmtId="208" fontId="21" fillId="5" borderId="0" xfId="0" applyNumberFormat="1" applyFont="1" applyFill="1" applyBorder="1" applyAlignment="1">
      <x:alignment horizontal="right" vertical="center" wrapText="0"/>
    </x:xf>
    <x:xf numFmtId="0" fontId="21" fillId="5" borderId="0" xfId="0" applyNumberFormat="1" applyFont="1" applyFill="1" applyBorder="1" applyAlignment="1">
      <x:alignment horizontal="right" vertical="center" wrapText="0"/>
    </x:xf>
    <x:xf numFmtId="201" fontId="21" fillId="5" borderId="0" xfId="0" applyNumberFormat="1" applyFont="1" applyFill="1" applyBorder="1" applyAlignment="1">
      <x:alignment horizontal="right" vertical="center" wrapText="0"/>
    </x:xf>
    <x:xf numFmtId="202" fontId="21" fillId="5" borderId="0" xfId="0" applyNumberFormat="1" applyFont="1" applyFill="1" applyBorder="1" applyAlignment="1">
      <x:alignment horizontal="right" vertical="center" wrapText="0"/>
    </x:xf>
    <x:xf numFmtId="207" fontId="21" fillId="5" borderId="0" xfId="0" applyNumberFormat="1" applyFont="1" applyFill="1" applyBorder="1" applyAlignment="1">
      <x:alignment horizontal="right" vertical="center" wrapText="0"/>
    </x:xf>
    <x:xf numFmtId="0" fontId="10" fillId="7" borderId="0" xfId="0" applyNumberFormat="1" applyFont="1" applyFill="1" applyBorder="1" applyAlignment="1">
      <x:alignment vertical="center" wrapText="0"/>
    </x:xf>
    <x:xf numFmtId="0" fontId="10" fillId="7" borderId="0" xfId="0" applyNumberFormat="1" applyFont="1" applyFill="1" applyBorder="1" applyAlignment="1">
      <x:alignment horizontal="right" vertical="center" wrapText="0"/>
    </x:xf>
    <x:xf numFmtId="0" fontId="11" fillId="7" borderId="0" xfId="0" applyNumberFormat="1" applyFont="1" applyFill="1" applyBorder="1" applyAlignment="1">
      <x:alignment vertical="center" wrapText="0"/>
    </x:xf>
    <x:xf numFmtId="0" fontId="15" fillId="7" borderId="0" xfId="0" applyNumberFormat="1" applyFont="1" applyFill="1" applyBorder="1" applyAlignment="1">
      <x:alignment vertical="center" wrapText="0"/>
    </x:xf>
    <x:xf numFmtId="0" fontId="15" fillId="7" borderId="0" xfId="0" applyNumberFormat="1" applyFont="1" applyFill="1" applyBorder="1" applyAlignment="1">
      <x:alignment horizontal="right" vertical="center" wrapText="0"/>
    </x:xf>
    <x:xf numFmtId="0" fontId="15" fillId="7" borderId="5" xfId="0" applyNumberFormat="1" applyFont="1" applyFill="1" applyBorder="1" applyAlignment="1">
      <x:alignment vertical="center" wrapText="0"/>
    </x:xf>
    <x:xf numFmtId="0" fontId="15" fillId="7" borderId="5" xfId="0" applyNumberFormat="1" applyFont="1" applyFill="1" applyBorder="1" applyAlignment="1">
      <x:alignment horizontal="right" vertical="center" wrapText="0"/>
    </x:xf>
    <x:xf numFmtId="0" fontId="24" fillId="5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5bd1b5af845e7" /><Relationship Type="http://schemas.openxmlformats.org/officeDocument/2006/relationships/theme" Target="/xl/theme/theme1.xml" Id="Rcfdf8d0836804d5b" /><Relationship Type="http://schemas.openxmlformats.org/officeDocument/2006/relationships/sharedStrings" Target="/xl/sharedStrings.xml" Id="R2550a19b05814026" /><Relationship Type="http://schemas.openxmlformats.org/officeDocument/2006/relationships/worksheet" Target="/xl/worksheets/sheet1.xml" Id="R6dc11e57fda5412a" /><Relationship Type="http://schemas.openxmlformats.org/officeDocument/2006/relationships/worksheet" Target="/xl/worksheets/sheet2.xml" Id="R629d212acc664c0e" /><Relationship Type="http://schemas.openxmlformats.org/officeDocument/2006/relationships/worksheet" Target="/xl/worksheets/sheet3.xml" Id="R9015b810bae246bd" /><Relationship Type="http://schemas.openxmlformats.org/officeDocument/2006/relationships/worksheet" Target="/xl/worksheets/sheet4.xml" Id="R48e9131518124d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fca8facb474ec2" /><Relationship Type="http://schemas.openxmlformats.org/officeDocument/2006/relationships/chart" Target="/xl/drawings/charts/chart2.xml" Id="R0ff19e63894b40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Quarterly revenue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 ($m)</c:v>
          </c:tx>
          <c:spPr>
            <a:ln xmlns:a="http://schemas.openxmlformats.org/drawingml/2006/main" w="19050">
              <a:solidFill>
                <a:srgbClr val="17365D"/>
              </a:solidFill>
              <a:prstDash val="solid"/>
            </a:ln>
          </c:spPr>
          <c:marker>
            <c:symbol val="none"/>
          </c:marker>
          <c:cat>
            <c:strRef>
              <c:f>'Dashboard'!$S$6:$S$9</c:f>
              <c:strCache>
                <c:ptCount val="0"/>
              </c:strCache>
            </c:strRef>
          </c:cat>
          <c:val>
            <c:numRef>
              <c:f>'Dashboard'!$T$6:$T$9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GAAP operating margin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Operating margin</c:v>
          </c:tx>
          <c:spPr>
            <a:ln xmlns:a="http://schemas.openxmlformats.org/drawingml/2006/main" w="19050">
              <a:solidFill>
                <a:srgbClr val="008C95"/>
              </a:solidFill>
              <a:prstDash val="solid"/>
            </a:ln>
          </c:spPr>
          <c:marker>
            <c:symbol val="none"/>
          </c:marker>
          <c:cat>
            <c:strRef>
              <c:f>'Dashboard'!$S$6:$S$9</c:f>
              <c:strCache>
                <c:ptCount val="0"/>
              </c:strCache>
            </c:strRef>
          </c:cat>
          <c:val>
            <c:numRef>
              <c:f>'Dashboard'!$U$6:$U$9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fca8facb474ec2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f19e63894b40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ba2b3ad7fa4e3b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</x:cols>
  <x:sheetData>
    <x:row r="2" ht="27" customHeight="1">
      <x:c r="C2" s="99" t="str">
        <x:v>HubSpot FP&amp;A case study</x:v>
      </x:c>
      <x:c r="D2" s="86"/>
      <x:c r="E2" s="86"/>
      <x:c r="F2" s="86"/>
      <x:c r="G2" s="86"/>
      <x:c r="H2" s="86"/>
      <x:c r="I2" s="87"/>
      <x:c r="J2" s="87"/>
      <x:c r="K2" s="87"/>
      <x:c r="L2" s="87"/>
      <x:c r="M2" s="87"/>
      <x:c r="N2" s="87"/>
      <x:c r="O2" s="87"/>
      <x:c r="P2" s="87"/>
      <x:c r="Q2" s="87"/>
      <x:c r="R2" s="87"/>
      <x:c r="S2" s="87"/>
      <x:c r="T2" s="87"/>
      <x:c r="U2" s="87"/>
    </x:row>
    <x:row r="3">
      <x:c r="C3" s="100" t="str">
        <x:v>USD millions, except customers and percentages. Public actuals through Q2:26; H2 scenarios are illustrative.</x:v>
      </x:c>
      <x:c r="D3" s="100"/>
      <x:c r="E3" s="100"/>
      <x:c r="F3" s="100"/>
      <x:c r="G3" s="100"/>
      <x:c r="H3" s="100"/>
      <x:c r="I3" s="87"/>
      <x:c r="J3" s="87"/>
      <x:c r="K3" s="87"/>
      <x:c r="L3" s="87"/>
      <x:c r="M3" s="87"/>
      <x:c r="N3" s="87"/>
      <x:c r="O3" s="87"/>
      <x:c r="P3" s="87"/>
      <x:c r="Q3" s="87"/>
      <x:c r="R3" s="87"/>
      <x:c r="S3" s="87"/>
      <x:c r="T3" s="87"/>
      <x:c r="U3" s="87"/>
    </x:row>
    <x:row r="4">
      <x:c r="C4" s="87"/>
      <x:c r="D4" s="87"/>
      <x:c r="E4" s="87"/>
      <x:c r="F4" s="87"/>
      <x:c r="G4" s="87"/>
      <x:c r="H4" s="87"/>
      <x:c r="I4" s="87"/>
      <x:c r="J4" s="87"/>
      <x:c r="K4" s="87"/>
      <x:c r="L4" s="87"/>
      <x:c r="M4" s="87"/>
      <x:c r="N4" s="87"/>
      <x:c r="O4" s="87"/>
      <x:c r="P4" s="87"/>
      <x:c r="Q4" s="87"/>
      <x:c r="R4" s="87"/>
      <x:c r="S4" s="87"/>
      <x:c r="T4" s="87"/>
      <x:c r="U4" s="87"/>
    </x:row>
    <x:row r="5" ht="22" customHeight="1">
      <x:c r="C5" s="103" t="str">
        <x:v>Selected case</x:v>
      </x:c>
      <x:c r="D5" s="104" t="str">
        <x:f>'Assumptions'!F5</x:f>
        <x:v>Base</x:v>
      </x:c>
      <x:c r="E5" s="90"/>
      <x:c r="F5" s="90"/>
      <x:c r="G5" s="90"/>
      <x:c r="H5" s="90"/>
      <x:c r="I5" s="87"/>
      <x:c r="J5" s="87"/>
      <x:c r="K5" s="87"/>
      <x:c r="L5" s="87"/>
      <x:c r="M5" s="87"/>
      <x:c r="N5" s="87"/>
      <x:c r="O5" s="87"/>
      <x:c r="P5" s="87"/>
      <x:c r="Q5" s="87"/>
      <x:c r="R5" s="87"/>
      <x:c r="S5" s="147" t="str">
        <x:v>Quarter</x:v>
      </x:c>
      <x:c r="T5" s="147" t="str">
        <x:v>Revenue ($m)</x:v>
      </x:c>
      <x:c r="U5" s="147" t="str">
        <x:v>Operating margin</x:v>
      </x:c>
    </x:row>
    <x:row r="6" ht="22" customHeight="1">
      <x:c r="C6" s="87"/>
      <x:c r="D6" s="90"/>
      <x:c r="E6" s="90"/>
      <x:c r="F6" s="90"/>
      <x:c r="G6" s="90"/>
      <x:c r="H6" s="90"/>
      <x:c r="I6" s="87"/>
      <x:c r="J6" s="87"/>
      <x:c r="K6" s="87"/>
      <x:c r="L6" s="87"/>
      <x:c r="M6" s="87"/>
      <x:c r="N6" s="87"/>
      <x:c r="O6" s="87"/>
      <x:c r="P6" s="87"/>
      <x:c r="Q6" s="87"/>
      <x:c r="R6" s="87"/>
      <x:c r="S6" s="147" t="str">
        <x:f>D$8</x:f>
        <x:v>Q1:26 actual</x:v>
      </x:c>
      <x:c r="T6" s="147" t="n">
        <x:f>D9</x:f>
        <x:v>880.995</x:v>
      </x:c>
      <x:c r="U6" s="147" t="n">
        <x:f>D12</x:f>
        <x:v>0.03171868171783049</x:v>
      </x:c>
    </x:row>
    <x:row r="7" ht="22" customHeight="1">
      <x:c r="C7" s="87"/>
      <x:c r="D7" s="90"/>
      <x:c r="E7" s="90"/>
      <x:c r="F7" s="90"/>
      <x:c r="G7" s="90"/>
      <x:c r="H7" s="90"/>
      <x:c r="I7" s="87"/>
      <x:c r="J7" s="87"/>
      <x:c r="K7" s="87"/>
      <x:c r="L7" s="87"/>
      <x:c r="M7" s="87"/>
      <x:c r="N7" s="87"/>
      <x:c r="O7" s="87"/>
      <x:c r="P7" s="87"/>
      <x:c r="Q7" s="87"/>
      <x:c r="R7" s="87"/>
      <x:c r="S7" s="147" t="str">
        <x:f>F$8</x:f>
        <x:v>Q2:26 actual</x:v>
      </x:c>
      <x:c r="T7" s="147" t="n">
        <x:f>F9</x:f>
        <x:v>911.74</x:v>
      </x:c>
      <x:c r="U7" s="147" t="n">
        <x:f>F12</x:f>
        <x:v>0.047512448724417004</x:v>
      </x:c>
    </x:row>
    <x:row r="8" ht="22" customHeight="1">
      <x:c r="C8" s="109" t="str">
        <x:v>Metric</x:v>
      </x:c>
      <x:c r="D8" s="108" t="str">
        <x:v>Q1:26 actual</x:v>
      </x:c>
      <x:c r="E8" s="108" t="str">
        <x:v>Q2:26 plan</x:v>
      </x:c>
      <x:c r="F8" s="108" t="str">
        <x:v>Q2:26 actual</x:v>
      </x:c>
      <x:c r="G8" s="108" t="str">
        <x:v>Q3:26 forecast</x:v>
      </x:c>
      <x:c r="H8" s="108" t="str">
        <x:v>Q4:26 forecast</x:v>
      </x:c>
      <x:c r="I8" s="87"/>
      <x:c r="J8" s="87"/>
      <x:c r="K8" s="87"/>
      <x:c r="L8" s="87"/>
      <x:c r="M8" s="87"/>
      <x:c r="N8" s="87"/>
      <x:c r="O8" s="87"/>
      <x:c r="P8" s="87"/>
      <x:c r="Q8" s="87"/>
      <x:c r="R8" s="87"/>
      <x:c r="S8" s="147" t="str">
        <x:f>G$8</x:f>
        <x:v>Q3:26 forecast</x:v>
      </x:c>
      <x:c r="T8" s="147" t="n">
        <x:f>G9</x:f>
        <x:v>938.7208322630316</x:v>
      </x:c>
      <x:c r="U8" s="147" t="n">
        <x:f>G12</x:f>
        <x:v>0.046846697395677664</x:v>
      </x:c>
    </x:row>
    <x:row r="9" ht="22" customHeight="1">
      <x:c r="C9" s="101" t="str">
        <x:v>Revenue</x:v>
      </x:c>
      <x:c r="D9" s="118" t="n">
        <x:f>'Operating model'!D14</x:f>
        <x:v>880.995</x:v>
      </x:c>
      <x:c r="E9" s="118" t="n">
        <x:f>'Operating model'!E14</x:f>
        <x:v>897.5</x:v>
      </x:c>
      <x:c r="F9" s="118" t="n">
        <x:f>'Operating model'!F14</x:f>
        <x:v>911.74</x:v>
      </x:c>
      <x:c r="G9" s="118" t="n">
        <x:f>'Operating model'!G14</x:f>
        <x:v>938.7208322630316</x:v>
      </x:c>
      <x:c r="H9" s="118" t="n">
        <x:f>'Operating model'!H14</x:f>
        <x:v>969.9049425951881</x:v>
      </x:c>
      <x:c r="I9" s="87"/>
      <x:c r="J9" s="87"/>
      <x:c r="K9" s="87"/>
      <x:c r="L9" s="87"/>
      <x:c r="M9" s="87"/>
      <x:c r="N9" s="87"/>
      <x:c r="O9" s="87"/>
      <x:c r="P9" s="87"/>
      <x:c r="Q9" s="87"/>
      <x:c r="R9" s="87"/>
      <x:c r="S9" s="147" t="str">
        <x:f>H$8</x:f>
        <x:v>Q4:26 forecast</x:v>
      </x:c>
      <x:c r="T9" s="147" t="n">
        <x:f>H9</x:f>
        <x:v>969.9049425951881</x:v>
      </x:c>
      <x:c r="U9" s="147" t="n">
        <x:f>H12</x:f>
        <x:v>0.05099089518644597</x:v>
      </x:c>
    </x:row>
    <x:row r="10" ht="22" customHeight="1">
      <x:c r="C10" s="88" t="str">
        <x:v>Gross margin</x:v>
      </x:c>
      <x:c r="D10" s="119" t="n">
        <x:f>'Operating model'!D21</x:f>
        <x:v>0.8346267572460684</x:v>
      </x:c>
      <x:c r="E10" s="119" t="n">
        <x:f>'Operating model'!E21</x:f>
        <x:v>0.8349487348102607</x:v>
      </x:c>
      <x:c r="F10" s="119" t="n">
        <x:f>'Operating model'!F21</x:f>
        <x:v>0.8235472832167064</x:v>
      </x:c>
      <x:c r="G10" s="119" t="n">
        <x:f>'Operating model'!G21</x:f>
        <x:v>0.8240185047767371</x:v>
      </x:c>
      <x:c r="H10" s="119" t="n">
        <x:f>'Operating model'!H21</x:f>
        <x:v>0.8221250269468809</x:v>
      </x:c>
      <x:c r="I10" s="87"/>
      <x:c r="J10" s="87"/>
      <x:c r="K10" s="87"/>
      <x:c r="L10" s="87"/>
      <x:c r="M10" s="87"/>
      <x:c r="N10" s="87"/>
      <x:c r="O10" s="87"/>
      <x:c r="P10" s="87"/>
      <x:c r="Q10" s="87"/>
      <x:c r="R10" s="87"/>
      <x:c r="S10" s="147"/>
      <x:c r="T10" s="147"/>
      <x:c r="U10" s="147"/>
    </x:row>
    <x:row r="11" ht="22" customHeight="1">
      <x:c r="C11" s="115" t="str">
        <x:v>Operating income</x:v>
      </x:c>
      <x:c r="D11" s="120" t="n">
        <x:f>'Operating model'!D30</x:f>
        <x:v>27.944000000000074</x:v>
      </x:c>
      <x:c r="E11" s="120" t="n">
        <x:f>'Operating model'!E30</x:f>
        <x:v>28.77696851308872</x:v>
      </x:c>
      <x:c r="F11" s="120" t="n">
        <x:f>'Operating model'!F30</x:f>
        <x:v>43.31899999999996</x:v>
      </x:c>
      <x:c r="G11" s="120" t="n">
        <x:f>'Operating model'!G30</x:f>
        <x:v>43.97597076804493</x:v>
      </x:c>
      <x:c r="H11" s="120" t="n">
        <x:f>'Operating model'!H30</x:f>
        <x:v>49.456321268687134</x:v>
      </x:c>
      <x:c r="I11" s="87"/>
      <x:c r="J11" s="87"/>
      <x:c r="K11" s="87"/>
      <x:c r="L11" s="87"/>
      <x:c r="M11" s="87"/>
      <x:c r="N11" s="87"/>
      <x:c r="O11" s="87"/>
      <x:c r="P11" s="87"/>
      <x:c r="Q11" s="87"/>
      <x:c r="R11" s="87"/>
      <x:c r="S11" s="147"/>
      <x:c r="T11" s="147"/>
      <x:c r="U11" s="147"/>
    </x:row>
    <x:row r="12" ht="22" customHeight="1">
      <x:c r="C12" s="88" t="str">
        <x:v>Operating margin</x:v>
      </x:c>
      <x:c r="D12" s="119" t="n">
        <x:f>'Operating model'!D31</x:f>
        <x:v>0.03171868171783049</x:v>
      </x:c>
      <x:c r="E12" s="119" t="n">
        <x:f>'Operating model'!E31</x:f>
        <x:v>0.032063474666394115</x:v>
      </x:c>
      <x:c r="F12" s="119" t="n">
        <x:f>'Operating model'!F31</x:f>
        <x:v>0.047512448724417004</x:v>
      </x:c>
      <x:c r="G12" s="119" t="n">
        <x:f>'Operating model'!G31</x:f>
        <x:v>0.046846697395677664</x:v>
      </x:c>
      <x:c r="H12" s="119" t="n">
        <x:f>'Operating model'!H31</x:f>
        <x:v>0.05099089518644597</x:v>
      </x:c>
      <x:c r="I12" s="87"/>
      <x:c r="J12" s="87"/>
      <x:c r="K12" s="87"/>
      <x:c r="L12" s="87"/>
      <x:c r="M12" s="87"/>
      <x:c r="N12" s="87"/>
      <x:c r="O12" s="87"/>
      <x:c r="P12" s="87"/>
      <x:c r="Q12" s="87"/>
      <x:c r="R12" s="87"/>
      <x:c r="S12" s="147"/>
      <x:c r="T12" s="147"/>
      <x:c r="U12" s="147"/>
    </x:row>
    <x:row r="13" ht="22" customHeight="1">
      <x:c r="C13" s="101" t="str">
        <x:v>Ending customers</x:v>
      </x:c>
      <x:c r="D13" s="121" t="n">
        <x:f>'Operating model'!D9</x:f>
        <x:v>299458</x:v>
      </x:c>
      <x:c r="E13" s="121" t="n">
        <x:f>'Operating model'!E9</x:f>
        <x:v>306458</x:v>
      </x:c>
      <x:c r="F13" s="121" t="n">
        <x:f>'Operating model'!F9</x:f>
        <x:v>306446</x:v>
      </x:c>
      <x:c r="G13" s="121" t="n">
        <x:f>'Operating model'!G9</x:f>
        <x:v>314446</x:v>
      </x:c>
      <x:c r="H13" s="121" t="n">
        <x:f>'Operating model'!H9</x:f>
        <x:v>323946</x:v>
      </x:c>
      <x:c r="I13" s="87"/>
      <x:c r="J13" s="87"/>
      <x:c r="K13" s="87"/>
      <x:c r="L13" s="87"/>
      <x:c r="M13" s="87"/>
      <x:c r="N13" s="87"/>
      <x:c r="O13" s="87"/>
      <x:c r="P13" s="87"/>
      <x:c r="Q13" s="87"/>
      <x:c r="R13" s="87"/>
      <x:c r="S13" s="147"/>
      <x:c r="T13" s="147"/>
      <x:c r="U13" s="147"/>
    </x:row>
    <x:row r="14" ht="22" customHeight="1">
      <x:c r="C14" s="87"/>
      <x:c r="D14" s="90"/>
      <x:c r="E14" s="90"/>
      <x:c r="F14" s="90"/>
      <x:c r="G14" s="90"/>
      <x:c r="H14" s="90"/>
      <x:c r="I14" s="87"/>
      <x:c r="J14" s="87"/>
      <x:c r="K14" s="87"/>
      <x:c r="L14" s="87"/>
      <x:c r="M14" s="87"/>
      <x:c r="N14" s="87"/>
      <x:c r="O14" s="87"/>
      <x:c r="P14" s="87"/>
      <x:c r="Q14" s="87"/>
      <x:c r="R14" s="87"/>
      <x:c r="S14" s="147"/>
      <x:c r="T14" s="147"/>
      <x:c r="U14" s="147"/>
    </x:row>
    <x:row r="15" ht="22" customHeight="1">
      <x:c r="C15" s="87"/>
      <x:c r="D15" s="90"/>
      <x:c r="E15" s="90"/>
      <x:c r="F15" s="90"/>
      <x:c r="G15" s="90"/>
      <x:c r="H15" s="90"/>
      <x:c r="I15" s="87"/>
      <x:c r="J15" s="87"/>
      <x:c r="K15" s="87"/>
      <x:c r="L15" s="87"/>
      <x:c r="M15" s="87"/>
      <x:c r="N15" s="87"/>
      <x:c r="O15" s="87"/>
      <x:c r="P15" s="87"/>
      <x:c r="Q15" s="87"/>
      <x:c r="R15" s="87"/>
      <x:c r="S15" s="147"/>
      <x:c r="T15" s="147"/>
      <x:c r="U15" s="147"/>
    </x:row>
    <x:row r="16" ht="22" customHeight="1">
      <x:c r="C16" s="101" t="str">
        <x:v>H2 revenue</x:v>
      </x:c>
      <x:c r="D16" s="118" t="n">
        <x:f>SUM(G9:H9)</x:f>
        <x:v>1908.6257748582198</x:v>
      </x:c>
      <x:c r="E16" s="90"/>
      <x:c r="F16" s="90"/>
      <x:c r="G16" s="90"/>
      <x:c r="H16" s="90"/>
      <x:c r="I16" s="87"/>
      <x:c r="J16" s="87"/>
      <x:c r="K16" s="87"/>
      <x:c r="L16" s="87"/>
      <x:c r="M16" s="87"/>
      <x:c r="N16" s="87"/>
      <x:c r="O16" s="87"/>
      <x:c r="P16" s="87"/>
      <x:c r="Q16" s="87"/>
      <x:c r="R16" s="87"/>
      <x:c r="S16" s="147"/>
      <x:c r="T16" s="147"/>
      <x:c r="U16" s="147"/>
    </x:row>
    <x:row r="17" ht="22" customHeight="1">
      <x:c r="C17" s="101" t="str">
        <x:v>H2 operating income</x:v>
      </x:c>
      <x:c r="D17" s="118" t="n">
        <x:f>SUM(G11:H11)</x:f>
        <x:v>93.43229203673206</x:v>
      </x:c>
      <x:c r="E17" s="90"/>
      <x:c r="F17" s="90"/>
      <x:c r="G17" s="90"/>
      <x:c r="H17" s="90"/>
      <x:c r="I17" s="87"/>
      <x:c r="J17" s="87"/>
      <x:c r="K17" s="87"/>
      <x:c r="L17" s="87"/>
      <x:c r="M17" s="87"/>
      <x:c r="N17" s="87"/>
      <x:c r="O17" s="87"/>
      <x:c r="P17" s="87"/>
      <x:c r="Q17" s="87"/>
      <x:c r="R17" s="87"/>
      <x:c r="S17" s="147"/>
      <x:c r="T17" s="147"/>
      <x:c r="U17" s="147"/>
    </x:row>
    <x:row r="18" ht="22" customHeight="1">
      <x:c r="C18" s="87" t="str">
        <x:v>Q2 revenue vs. plan</x:v>
      </x:c>
      <x:c r="D18" s="122" t="n">
        <x:f>F9-E9</x:f>
        <x:v>14.240000000000009</x:v>
      </x:c>
      <x:c r="E18" s="90"/>
      <x:c r="F18" s="90"/>
      <x:c r="G18" s="90"/>
      <x:c r="H18" s="90"/>
      <x:c r="I18" s="87"/>
      <x:c r="J18" s="87"/>
      <x:c r="K18" s="87"/>
      <x:c r="L18" s="87"/>
      <x:c r="M18" s="87"/>
      <x:c r="N18" s="87"/>
      <x:c r="O18" s="87"/>
      <x:c r="P18" s="87"/>
      <x:c r="Q18" s="87"/>
      <x:c r="R18" s="87"/>
      <x:c r="S18" s="147"/>
      <x:c r="T18" s="147"/>
      <x:c r="U18" s="147"/>
    </x:row>
    <x:row r="19" ht="22" customHeight="1">
      <x:c r="C19" s="123" t="str">
        <x:v>Q2 operating income vs. plan</x:v>
      </x:c>
      <x:c r="D19" s="124" t="n">
        <x:f>F11-E11</x:f>
        <x:v>14.542031486911242</x:v>
      </x:c>
      <x:c r="E19" s="90"/>
      <x:c r="F19" s="90"/>
      <x:c r="G19" s="90"/>
      <x:c r="H19" s="90"/>
      <x:c r="I19" s="87"/>
      <x:c r="J19" s="87"/>
      <x:c r="K19" s="87"/>
      <x:c r="L19" s="87"/>
      <x:c r="M19" s="87"/>
      <x:c r="N19" s="87"/>
      <x:c r="O19" s="87"/>
      <x:c r="P19" s="87"/>
      <x:c r="Q19" s="87"/>
      <x:c r="R19" s="87"/>
      <x:c r="S19" s="147"/>
      <x:c r="T19" s="147"/>
      <x:c r="U19" s="147"/>
    </x:row>
    <x:row r="20" ht="22" customHeight="1">
      <x:c r="C20" s="87"/>
      <x:c r="D20" s="90"/>
      <x:c r="E20" s="90"/>
      <x:c r="F20" s="90"/>
      <x:c r="G20" s="90"/>
      <x:c r="H20" s="90"/>
      <x:c r="I20" s="87"/>
      <x:c r="J20" s="87"/>
      <x:c r="K20" s="87"/>
      <x:c r="L20" s="87"/>
      <x:c r="M20" s="87"/>
      <x:c r="N20" s="87"/>
      <x:c r="O20" s="87"/>
      <x:c r="P20" s="87"/>
      <x:c r="Q20" s="87"/>
      <x:c r="R20" s="87"/>
      <x:c r="S20" s="147"/>
      <x:c r="T20" s="147"/>
      <x:c r="U20" s="147"/>
    </x:row>
    <x:row r="21" ht="22" customHeight="1">
      <x:c r="C21" s="87"/>
      <x:c r="D21" s="90"/>
      <x:c r="E21" s="90"/>
      <x:c r="F21" s="90"/>
      <x:c r="G21" s="90"/>
      <x:c r="H21" s="90"/>
      <x:c r="I21" s="87"/>
      <x:c r="J21" s="87"/>
      <x:c r="K21" s="87"/>
      <x:c r="L21" s="87"/>
      <x:c r="M21" s="87"/>
      <x:c r="N21" s="87"/>
      <x:c r="O21" s="87"/>
      <x:c r="P21" s="87"/>
      <x:c r="Q21" s="87"/>
      <x:c r="R21" s="87"/>
      <x:c r="S21" s="147"/>
      <x:c r="T21" s="147"/>
      <x:c r="U21" s="147"/>
    </x:row>
    <x:row r="22" ht="22" customHeight="1">
      <x:c r="C22" s="87"/>
      <x:c r="D22" s="90"/>
      <x:c r="E22" s="90"/>
      <x:c r="F22" s="90"/>
      <x:c r="G22" s="90"/>
      <x:c r="H22" s="90"/>
      <x:c r="I22" s="87"/>
      <x:c r="J22" s="87"/>
      <x:c r="K22" s="87"/>
      <x:c r="L22" s="87"/>
      <x:c r="M22" s="87"/>
      <x:c r="N22" s="87"/>
      <x:c r="O22" s="87"/>
      <x:c r="P22" s="87"/>
      <x:c r="Q22" s="87"/>
      <x:c r="R22" s="87"/>
      <x:c r="S22" s="147"/>
      <x:c r="T22" s="147"/>
      <x:c r="U22" s="147"/>
    </x:row>
    <x:row r="23" ht="22" customHeight="1">
      <x:c r="C23" s="109" t="str">
        <x:v>Q2:26 variance</x:v>
      </x:c>
      <x:c r="D23" s="108" t="str">
        <x:v>Illustrative plan</x:v>
      </x:c>
      <x:c r="E23" s="108" t="str">
        <x:v>Reported actual</x:v>
      </x:c>
      <x:c r="F23" s="108" t="str">
        <x:v>Actual - plan</x:v>
      </x:c>
      <x:c r="G23" s="108" t="str">
        <x:v>Variance %</x:v>
      </x:c>
      <x:c r="H23" s="108" t="str">
        <x:v>Assessment</x:v>
      </x:c>
      <x:c r="I23" s="87"/>
      <x:c r="J23" s="87"/>
      <x:c r="K23" s="87"/>
      <x:c r="L23" s="87"/>
      <x:c r="M23" s="87"/>
      <x:c r="N23" s="87"/>
      <x:c r="O23" s="87"/>
      <x:c r="P23" s="87"/>
      <x:c r="Q23" s="87"/>
      <x:c r="R23" s="87"/>
      <x:c r="S23" s="147"/>
      <x:c r="T23" s="147"/>
      <x:c r="U23" s="147"/>
    </x:row>
    <x:row r="24" ht="22" customHeight="1">
      <x:c r="C24" s="101" t="str">
        <x:v>Total revenue</x:v>
      </x:c>
      <x:c r="D24" s="118" t="n">
        <x:f>'Operating model'!E14</x:f>
        <x:v>897.5</x:v>
      </x:c>
      <x:c r="E24" s="118" t="n">
        <x:f>'Operating model'!F14</x:f>
        <x:v>911.74</x:v>
      </x:c>
      <x:c r="F24" s="118" t="n">
        <x:f>E24-D24</x:f>
        <x:v>14.240000000000009</x:v>
      </x:c>
      <x:c r="G24" s="134" t="n">
        <x:f>F24/D24</x:f>
        <x:v>0.015866295264623964</x:v>
      </x:c>
      <x:c r="H24" s="126" t="str">
        <x:f>IF(F24=0,"On plan",IF(F24&gt;0,"Favorable","Unfavorable"))</x:f>
        <x:v>Favorable</x:v>
      </x:c>
      <x:c r="I24" s="87"/>
      <x:c r="J24" s="87"/>
      <x:c r="K24" s="87"/>
      <x:c r="L24" s="87"/>
      <x:c r="M24" s="87"/>
      <x:c r="N24" s="87"/>
      <x:c r="O24" s="87"/>
      <x:c r="P24" s="87"/>
      <x:c r="Q24" s="87"/>
      <x:c r="R24" s="87"/>
      <x:c r="S24" s="147"/>
      <x:c r="T24" s="147"/>
      <x:c r="U24" s="147"/>
    </x:row>
    <x:row r="25" ht="22" customHeight="1">
      <x:c r="C25" s="87" t="str">
        <x:v>Subscription revenue</x:v>
      </x:c>
      <x:c r="D25" s="133" t="n">
        <x:f>'Operating model'!E12</x:f>
        <x:v>878.8</x:v>
      </x:c>
      <x:c r="E25" s="133" t="n">
        <x:f>'Operating model'!F12</x:f>
        <x:v>894.025</x:v>
      </x:c>
      <x:c r="F25" s="133" t="n">
        <x:f>E25-D25</x:f>
        <x:v>15.225000000000023</x:v>
      </x:c>
      <x:c r="G25" s="135" t="n">
        <x:f>F25/D25</x:f>
        <x:v>0.017324761037778816</x:v>
      </x:c>
      <x:c r="H25" s="96" t="str">
        <x:f>IF(F25=0,"On plan",IF(F25&gt;0,"Favorable","Unfavorable"))</x:f>
        <x:v>Favorable</x:v>
      </x:c>
      <x:c r="I25" s="87"/>
      <x:c r="J25" s="87"/>
      <x:c r="K25" s="87"/>
      <x:c r="L25" s="87"/>
      <x:c r="M25" s="87"/>
      <x:c r="N25" s="87"/>
      <x:c r="O25" s="87"/>
      <x:c r="P25" s="87"/>
      <x:c r="Q25" s="87"/>
      <x:c r="R25" s="87"/>
      <x:c r="S25" s="147"/>
      <x:c r="T25" s="147"/>
      <x:c r="U25" s="147"/>
    </x:row>
    <x:row r="26" ht="22" customHeight="1">
      <x:c r="C26" s="87" t="str">
        <x:v>Services and other revenue</x:v>
      </x:c>
      <x:c r="D26" s="133" t="n">
        <x:f>'Operating model'!E13</x:f>
        <x:v>18.7</x:v>
      </x:c>
      <x:c r="E26" s="133" t="n">
        <x:f>'Operating model'!F13</x:f>
        <x:v>17.715</x:v>
      </x:c>
      <x:c r="F26" s="133" t="n">
        <x:f>E26-D26</x:f>
        <x:v>-0.9849999999999994</x:v>
      </x:c>
      <x:c r="G26" s="135" t="n">
        <x:f>F26/D26</x:f>
        <x:v>-0.05267379679144382</x:v>
      </x:c>
      <x:c r="H26" s="96" t="str">
        <x:f>IF(F26=0,"On plan",IF(F26&gt;0,"Favorable","Unfavorable"))</x:f>
        <x:v>Unfavorable</x:v>
      </x:c>
      <x:c r="I26" s="87"/>
      <x:c r="J26" s="87"/>
      <x:c r="K26" s="87"/>
      <x:c r="L26" s="87"/>
      <x:c r="M26" s="87"/>
      <x:c r="N26" s="87"/>
      <x:c r="O26" s="87"/>
      <x:c r="P26" s="87"/>
      <x:c r="Q26" s="87"/>
      <x:c r="R26" s="87"/>
      <x:c r="S26" s="147"/>
      <x:c r="T26" s="147"/>
      <x:c r="U26" s="147"/>
    </x:row>
    <x:row r="27" ht="22" customHeight="1">
      <x:c r="C27" s="87" t="str">
        <x:v>Subscription cost</x:v>
      </x:c>
      <x:c r="D27" s="133" t="n">
        <x:f>'Operating model'!E18</x:f>
        <x:v>131.19259437944757</x:v>
      </x:c>
      <x:c r="E27" s="133" t="n">
        <x:f>'Operating model'!F18</x:f>
        <x:v>145.957</x:v>
      </x:c>
      <x:c r="F27" s="133" t="n">
        <x:f>E27-D27</x:f>
        <x:v>14.764405620552424</x:v>
      </x:c>
      <x:c r="G27" s="135" t="n">
        <x:f>F27/D27</x:f>
        <x:v>0.11253993177274489</x:v>
      </x:c>
      <x:c r="H27" s="96" t="str">
        <x:f>IF(F27=0,"On plan",IF(F27&lt;0,"Favorable","Unfavorable"))</x:f>
        <x:v>Unfavorable</x:v>
      </x:c>
      <x:c r="I27" s="87"/>
      <x:c r="J27" s="87"/>
      <x:c r="K27" s="87"/>
      <x:c r="L27" s="87"/>
      <x:c r="M27" s="87"/>
      <x:c r="N27" s="87"/>
      <x:c r="O27" s="87"/>
      <x:c r="P27" s="87"/>
      <x:c r="Q27" s="87"/>
      <x:c r="R27" s="87"/>
      <x:c r="S27" s="147"/>
      <x:c r="T27" s="147"/>
      <x:c r="U27" s="147"/>
    </x:row>
    <x:row r="28" ht="22" customHeight="1">
      <x:c r="C28" s="87" t="str">
        <x:v>Services cost</x:v>
      </x:c>
      <x:c r="D28" s="133" t="n">
        <x:f>'Operating model'!E19</x:f>
        <x:v>16.94091612834339</x:v>
      </x:c>
      <x:c r="E28" s="133" t="n">
        <x:f>'Operating model'!F19</x:f>
        <x:v>14.922</x:v>
      </x:c>
      <x:c r="F28" s="133" t="n">
        <x:f>E28-D28</x:f>
        <x:v>-2.0189161283433883</x:v>
      </x:c>
      <x:c r="G28" s="135" t="n">
        <x:f>F28/D28</x:f>
        <x:v>-0.11917396397267999</x:v>
      </x:c>
      <x:c r="H28" s="96" t="str">
        <x:f>IF(F28=0,"On plan",IF(F28&lt;0,"Favorable","Unfavorable"))</x:f>
        <x:v>Favorable</x:v>
      </x:c>
      <x:c r="I28" s="87"/>
      <x:c r="J28" s="87"/>
      <x:c r="K28" s="87"/>
      <x:c r="L28" s="87"/>
      <x:c r="M28" s="87"/>
      <x:c r="N28" s="87"/>
      <x:c r="O28" s="87"/>
      <x:c r="P28" s="87"/>
      <x:c r="Q28" s="87"/>
      <x:c r="R28" s="87"/>
      <x:c r="S28" s="147"/>
      <x:c r="T28" s="147"/>
      <x:c r="U28" s="147"/>
    </x:row>
    <x:row r="29" ht="22" customHeight="1">
      <x:c r="C29" s="87" t="str">
        <x:v>Research and development</x:v>
      </x:c>
      <x:c r="D29" s="133" t="n">
        <x:f>'Operating model'!E26</x:f>
        <x:v>238.5815072730265</x:v>
      </x:c>
      <x:c r="E29" s="133" t="n">
        <x:f>'Operating model'!F26</x:f>
        <x:v>225.823</x:v>
      </x:c>
      <x:c r="F29" s="133" t="n">
        <x:f>E29-D29</x:f>
        <x:v>-12.758507273026481</x:v>
      </x:c>
      <x:c r="G29" s="135" t="n">
        <x:f>F29/D29</x:f>
        <x:v>-0.05347651382898665</x:v>
      </x:c>
      <x:c r="H29" s="96" t="str">
        <x:f>IF(F29=0,"On plan",IF(F29&lt;0,"Favorable","Unfavorable"))</x:f>
        <x:v>Favorable</x:v>
      </x:c>
      <x:c r="I29" s="87"/>
      <x:c r="J29" s="87"/>
      <x:c r="K29" s="87"/>
      <x:c r="L29" s="87"/>
      <x:c r="M29" s="87"/>
      <x:c r="N29" s="87"/>
      <x:c r="O29" s="87"/>
      <x:c r="P29" s="87"/>
      <x:c r="Q29" s="87"/>
      <x:c r="R29" s="87"/>
      <x:c r="S29" s="147"/>
      <x:c r="T29" s="147"/>
      <x:c r="U29" s="147"/>
    </x:row>
    <x:row r="30" ht="22" customHeight="1">
      <x:c r="C30" s="87" t="str">
        <x:v>Sales and marketing</x:v>
      </x:c>
      <x:c r="D30" s="133" t="n">
        <x:f>'Operating model'!E27</x:f>
        <x:v>393.6705912065336</x:v>
      </x:c>
      <x:c r="E30" s="133" t="n">
        <x:f>'Operating model'!F27</x:f>
        <x:v>397.707</x:v>
      </x:c>
      <x:c r="F30" s="133" t="n">
        <x:f>E30-D30</x:f>
        <x:v>4.036408793466421</x:v>
      </x:c>
      <x:c r="G30" s="135" t="n">
        <x:f>F30/D30</x:f>
        <x:v>0.010253264743743018</x:v>
      </x:c>
      <x:c r="H30" s="96" t="str">
        <x:f>IF(F30=0,"On plan",IF(F30&lt;0,"Favorable","Unfavorable"))</x:f>
        <x:v>Unfavorable</x:v>
      </x:c>
      <x:c r="I30" s="87"/>
      <x:c r="J30" s="87"/>
      <x:c r="K30" s="87"/>
      <x:c r="L30" s="87"/>
      <x:c r="M30" s="87"/>
      <x:c r="N30" s="87"/>
      <x:c r="O30" s="87"/>
      <x:c r="P30" s="87"/>
      <x:c r="Q30" s="87"/>
      <x:c r="R30" s="87"/>
      <x:c r="S30" s="147"/>
      <x:c r="T30" s="147"/>
      <x:c r="U30" s="147"/>
    </x:row>
    <x:row r="31" ht="22" customHeight="1">
      <x:c r="C31" s="87" t="str">
        <x:v>General and administrative</x:v>
      </x:c>
      <x:c r="D31" s="133" t="n">
        <x:f>'Operating model'!E28</x:f>
        <x:v>87.24442249956013</x:v>
      </x:c>
      <x:c r="E31" s="133" t="n">
        <x:f>'Operating model'!F28</x:f>
        <x:v>82.936</x:v>
      </x:c>
      <x:c r="F31" s="133" t="n">
        <x:f>E31-D31</x:f>
        <x:v>-4.308422499560123</x:v>
      </x:c>
      <x:c r="G31" s="135" t="n">
        <x:f>F31/D31</x:f>
        <x:v>-0.04938335742415907</x:v>
      </x:c>
      <x:c r="H31" s="96" t="str">
        <x:f>IF(F31=0,"On plan",IF(F31&lt;0,"Favorable","Unfavorable"))</x:f>
        <x:v>Favorable</x:v>
      </x:c>
      <x:c r="I31" s="87"/>
      <x:c r="J31" s="87"/>
      <x:c r="K31" s="87"/>
      <x:c r="L31" s="87"/>
      <x:c r="M31" s="87"/>
      <x:c r="N31" s="87"/>
      <x:c r="O31" s="87"/>
      <x:c r="P31" s="87"/>
      <x:c r="Q31" s="87"/>
      <x:c r="R31" s="87"/>
      <x:c r="S31" s="147"/>
      <x:c r="T31" s="147"/>
      <x:c r="U31" s="147"/>
    </x:row>
    <x:row r="32" ht="22" customHeight="1">
      <x:c r="C32" s="87" t="str">
        <x:v>Restructuring</x:v>
      </x:c>
      <x:c r="D32" s="133" t="n">
        <x:f>'Operating model'!E29</x:f>
        <x:v>1.093</x:v>
      </x:c>
      <x:c r="E32" s="133" t="n">
        <x:f>'Operating model'!F29</x:f>
        <x:v>1.076</x:v>
      </x:c>
      <x:c r="F32" s="133" t="n">
        <x:f>E32-D32</x:f>
        <x:v>-0.016999999999999904</x:v>
      </x:c>
      <x:c r="G32" s="135" t="n">
        <x:f>F32/D32</x:f>
        <x:v>-0.015553522415370452</x:v>
      </x:c>
      <x:c r="H32" s="96" t="str">
        <x:f>IF(F32=0,"On plan",IF(F32&lt;0,"Favorable","Unfavorable"))</x:f>
        <x:v>Favorable</x:v>
      </x:c>
      <x:c r="I32" s="87"/>
      <x:c r="J32" s="87"/>
      <x:c r="K32" s="87"/>
      <x:c r="L32" s="87"/>
      <x:c r="M32" s="87"/>
      <x:c r="N32" s="87"/>
      <x:c r="O32" s="87"/>
      <x:c r="P32" s="87"/>
      <x:c r="Q32" s="87"/>
      <x:c r="R32" s="87"/>
      <x:c r="S32" s="147"/>
      <x:c r="T32" s="147"/>
      <x:c r="U32" s="147"/>
    </x:row>
    <x:row r="33" ht="22" customHeight="1">
      <x:c r="C33" s="115" t="str">
        <x:v>Operating income</x:v>
      </x:c>
      <x:c r="D33" s="120" t="n">
        <x:f>'Operating model'!E30</x:f>
        <x:v>28.77696851308872</x:v>
      </x:c>
      <x:c r="E33" s="120" t="n">
        <x:f>'Operating model'!F30</x:f>
        <x:v>43.31899999999996</x:v>
      </x:c>
      <x:c r="F33" s="120" t="n">
        <x:f>E33-D33</x:f>
        <x:v>14.542031486911242</x:v>
      </x:c>
      <x:c r="G33" s="136" t="n">
        <x:f>F33/D33</x:f>
        <x:v>0.5053357680916614</x:v>
      </x:c>
      <x:c r="H33" s="132" t="str">
        <x:f>IF(F33=0,"On plan",IF(F33&gt;0,"Favorable","Unfavorable"))</x:f>
        <x:v>Favorable</x:v>
      </x:c>
      <x:c r="I33" s="87"/>
      <x:c r="J33" s="87"/>
      <x:c r="K33" s="87"/>
      <x:c r="L33" s="87"/>
      <x:c r="M33" s="87"/>
      <x:c r="N33" s="87"/>
      <x:c r="O33" s="87"/>
      <x:c r="P33" s="87"/>
      <x:c r="Q33" s="87"/>
      <x:c r="R33" s="87"/>
      <x:c r="S33" s="147"/>
      <x:c r="T33" s="147"/>
      <x:c r="U33" s="147"/>
    </x:row>
    <x:row r="34" ht="22" customHeight="1">
      <x:c r="C34" s="87"/>
      <x:c r="D34" s="90"/>
      <x:c r="E34" s="90"/>
      <x:c r="F34" s="90"/>
      <x:c r="G34" s="90"/>
      <x:c r="H34" s="90"/>
      <x:c r="I34" s="87"/>
      <x:c r="J34" s="87"/>
      <x:c r="K34" s="87"/>
      <x:c r="L34" s="87"/>
      <x:c r="M34" s="87"/>
      <x:c r="N34" s="87"/>
      <x:c r="O34" s="87"/>
      <x:c r="P34" s="87"/>
      <x:c r="Q34" s="87"/>
      <x:c r="R34" s="87"/>
      <x:c r="S34" s="147"/>
      <x:c r="T34" s="147"/>
      <x:c r="U34" s="147"/>
    </x:row>
    <x:row r="35" ht="22" customHeight="1">
      <x:c r="C35" s="87"/>
      <x:c r="D35" s="90"/>
      <x:c r="E35" s="90"/>
      <x:c r="F35" s="90"/>
      <x:c r="G35" s="90"/>
      <x:c r="H35" s="90"/>
      <x:c r="I35" s="87"/>
      <x:c r="J35" s="87"/>
      <x:c r="K35" s="87"/>
      <x:c r="L35" s="87"/>
      <x:c r="M35" s="87"/>
      <x:c r="N35" s="87"/>
      <x:c r="O35" s="87"/>
      <x:c r="P35" s="87"/>
      <x:c r="Q35" s="87"/>
      <x:c r="R35" s="87"/>
      <x:c r="S35" s="147"/>
      <x:c r="T35" s="147"/>
      <x:c r="U35" s="147"/>
    </x:row>
    <x:row r="36" ht="22" customHeight="1">
      <x:c r="C36" s="109" t="str">
        <x:v>Q2:26 revenue bridge</x:v>
      </x:c>
      <x:c r="D36" s="108" t="str">
        <x:v>Impact</x:v>
      </x:c>
      <x:c r="E36" s="90"/>
      <x:c r="F36" s="90"/>
      <x:c r="G36" s="90"/>
      <x:c r="H36" s="90"/>
      <x:c r="I36" s="87"/>
      <x:c r="J36" s="87"/>
      <x:c r="K36" s="87"/>
      <x:c r="L36" s="87"/>
      <x:c r="M36" s="87"/>
      <x:c r="N36" s="87"/>
      <x:c r="O36" s="87"/>
      <x:c r="P36" s="87"/>
      <x:c r="Q36" s="87"/>
      <x:c r="R36" s="87"/>
      <x:c r="S36" s="147"/>
      <x:c r="T36" s="147"/>
      <x:c r="U36" s="147"/>
    </x:row>
    <x:row r="37" ht="22" customHeight="1">
      <x:c r="C37" s="87" t="str">
        <x:v>Illustrative plan revenue</x:v>
      </x:c>
      <x:c r="D37" s="122" t="n">
        <x:f>'Operating model'!E14</x:f>
        <x:v>897.5</x:v>
      </x:c>
      <x:c r="E37" s="90"/>
      <x:c r="F37" s="90"/>
      <x:c r="G37" s="90"/>
      <x:c r="H37" s="90"/>
      <x:c r="I37" s="87"/>
      <x:c r="J37" s="87"/>
      <x:c r="K37" s="87"/>
      <x:c r="L37" s="87"/>
      <x:c r="M37" s="87"/>
      <x:c r="N37" s="87"/>
      <x:c r="O37" s="87"/>
      <x:c r="P37" s="87"/>
      <x:c r="Q37" s="87"/>
      <x:c r="R37" s="87"/>
      <x:c r="S37" s="147"/>
      <x:c r="T37" s="147"/>
      <x:c r="U37" s="147"/>
    </x:row>
    <x:row r="38" ht="22" customHeight="1">
      <x:c r="C38" s="87" t="str">
        <x:v>Average customer count effect</x:v>
      </x:c>
      <x:c r="D38" s="133" t="n">
        <x:f>('Operating model'!F10-'Operating model'!E10)*'Operating model'!E11/1000000</x:f>
        <x:v>-0.01740439268809538</x:v>
      </x:c>
      <x:c r="E38" s="90"/>
      <x:c r="F38" s="90"/>
      <x:c r="G38" s="90"/>
      <x:c r="H38" s="90"/>
      <x:c r="I38" s="87"/>
      <x:c r="J38" s="87"/>
      <x:c r="K38" s="87"/>
      <x:c r="L38" s="87"/>
      <x:c r="M38" s="87"/>
      <x:c r="N38" s="87"/>
      <x:c r="O38" s="87"/>
      <x:c r="P38" s="87"/>
      <x:c r="Q38" s="87"/>
      <x:c r="R38" s="87"/>
      <x:c r="S38" s="147"/>
      <x:c r="T38" s="147"/>
      <x:c r="U38" s="147"/>
    </x:row>
    <x:row r="39" ht="22" customHeight="1">
      <x:c r="C39" s="87" t="str">
        <x:v>Effective yield effect</x:v>
      </x:c>
      <x:c r="D39" s="133" t="n">
        <x:f>'Operating model'!F10*('Operating model'!F11-'Operating model'!E11)/1000000</x:f>
        <x:v>15.242404392688064</x:v>
      </x:c>
      <x:c r="E39" s="90"/>
      <x:c r="F39" s="90"/>
      <x:c r="G39" s="90"/>
      <x:c r="H39" s="90"/>
      <x:c r="I39" s="87"/>
      <x:c r="J39" s="87"/>
      <x:c r="K39" s="87"/>
      <x:c r="L39" s="87"/>
      <x:c r="M39" s="87"/>
      <x:c r="N39" s="87"/>
      <x:c r="O39" s="87"/>
      <x:c r="P39" s="87"/>
      <x:c r="Q39" s="87"/>
      <x:c r="R39" s="87"/>
      <x:c r="S39" s="147"/>
      <x:c r="T39" s="147"/>
      <x:c r="U39" s="147"/>
    </x:row>
    <x:row r="40" ht="22" customHeight="1">
      <x:c r="C40" s="87" t="str">
        <x:v>Services revenue effect</x:v>
      </x:c>
      <x:c r="D40" s="133" t="n">
        <x:f>'Operating model'!F13-'Operating model'!E13</x:f>
        <x:v>-0.9849999999999994</x:v>
      </x:c>
      <x:c r="E40" s="90"/>
      <x:c r="F40" s="90"/>
      <x:c r="G40" s="90"/>
      <x:c r="H40" s="90"/>
      <x:c r="I40" s="87"/>
      <x:c r="J40" s="87"/>
      <x:c r="K40" s="87"/>
      <x:c r="L40" s="87"/>
      <x:c r="M40" s="87"/>
      <x:c r="N40" s="87"/>
      <x:c r="O40" s="87"/>
      <x:c r="P40" s="87"/>
      <x:c r="Q40" s="87"/>
      <x:c r="R40" s="87"/>
      <x:c r="S40" s="147"/>
      <x:c r="T40" s="147"/>
      <x:c r="U40" s="147"/>
    </x:row>
    <x:row r="41" ht="22" customHeight="1">
      <x:c r="C41" s="137" t="str">
        <x:v>Bridge implied actual</x:v>
      </x:c>
      <x:c r="D41" s="139" t="n">
        <x:f>SUM(D37:D40)</x:f>
        <x:v>911.7399999999999</x:v>
      </x:c>
      <x:c r="E41" s="90"/>
      <x:c r="F41" s="90"/>
      <x:c r="G41" s="90"/>
      <x:c r="H41" s="90"/>
      <x:c r="I41" s="87"/>
      <x:c r="J41" s="87"/>
      <x:c r="K41" s="87"/>
      <x:c r="L41" s="87"/>
      <x:c r="M41" s="87"/>
      <x:c r="N41" s="87"/>
      <x:c r="O41" s="87"/>
      <x:c r="P41" s="87"/>
      <x:c r="Q41" s="87"/>
      <x:c r="R41" s="87"/>
      <x:c r="S41" s="147"/>
      <x:c r="T41" s="147"/>
      <x:c r="U41" s="147"/>
    </x:row>
    <x:row r="42" ht="22" customHeight="1">
      <x:c r="C42" s="87" t="str">
        <x:v>Reported actual</x:v>
      </x:c>
      <x:c r="D42" s="122" t="n">
        <x:f>'Operating model'!F14</x:f>
        <x:v>911.74</x:v>
      </x:c>
      <x:c r="E42" s="90"/>
      <x:c r="F42" s="90"/>
      <x:c r="G42" s="90"/>
      <x:c r="H42" s="90"/>
      <x:c r="I42" s="87"/>
      <x:c r="J42" s="87"/>
      <x:c r="K42" s="87"/>
      <x:c r="L42" s="87"/>
      <x:c r="M42" s="87"/>
      <x:c r="N42" s="87"/>
      <x:c r="O42" s="87"/>
      <x:c r="P42" s="87"/>
      <x:c r="Q42" s="87"/>
      <x:c r="R42" s="87"/>
      <x:c r="S42" s="147"/>
      <x:c r="T42" s="147"/>
      <x:c r="U42" s="147"/>
    </x:row>
    <x:row r="43" ht="22" customHeight="1">
      <x:c r="C43" s="140" t="str">
        <x:v>Bridge difference</x:v>
      </x:c>
      <x:c r="D43" s="142" t="n">
        <x:f>ROUND(D41-D42,6)</x:f>
        <x:v>0</x:v>
      </x:c>
      <x:c r="E43" s="90"/>
      <x:c r="F43" s="90"/>
      <x:c r="G43" s="90"/>
      <x:c r="H43" s="90"/>
      <x:c r="I43" s="87"/>
      <x:c r="J43" s="87"/>
      <x:c r="K43" s="87"/>
      <x:c r="L43" s="87"/>
      <x:c r="M43" s="87"/>
      <x:c r="N43" s="87"/>
      <x:c r="O43" s="87"/>
      <x:c r="P43" s="87"/>
      <x:c r="Q43" s="87"/>
      <x:c r="R43" s="87"/>
      <x:c r="S43" s="147"/>
      <x:c r="T43" s="147"/>
      <x:c r="U43" s="147"/>
    </x:row>
    <x:row r="44" ht="22" customHeight="1">
      <x:c r="C44" s="87"/>
      <x:c r="D44" s="90"/>
      <x:c r="E44" s="90"/>
      <x:c r="F44" s="90"/>
      <x:c r="G44" s="90"/>
      <x:c r="H44" s="90"/>
      <x:c r="I44" s="87"/>
      <x:c r="J44" s="87"/>
      <x:c r="K44" s="87"/>
      <x:c r="L44" s="87"/>
      <x:c r="M44" s="87"/>
      <x:c r="N44" s="87"/>
      <x:c r="O44" s="87"/>
      <x:c r="P44" s="87"/>
      <x:c r="Q44" s="87"/>
      <x:c r="R44" s="87"/>
      <x:c r="S44" s="147"/>
      <x:c r="T44" s="147"/>
      <x:c r="U44" s="147"/>
    </x:row>
    <x:row r="45" ht="22" customHeight="1">
      <x:c r="C45" s="143" t="str">
        <x:v>Revenue target is published guidance midpoint. All Q2 driver allocations and cost plan are illustrative.</x:v>
      </x:c>
      <x:c r="D45" s="144"/>
      <x:c r="E45" s="144"/>
      <x:c r="F45" s="144"/>
      <x:c r="G45" s="144"/>
      <x:c r="H45" s="144"/>
      <x:c r="I45" s="87"/>
      <x:c r="J45" s="87"/>
      <x:c r="K45" s="87"/>
      <x:c r="L45" s="87"/>
      <x:c r="M45" s="87"/>
      <x:c r="N45" s="87"/>
      <x:c r="O45" s="87"/>
      <x:c r="P45" s="87"/>
      <x:c r="Q45" s="87"/>
      <x:c r="R45" s="87"/>
      <x:c r="S45" s="147"/>
      <x:c r="T45" s="147"/>
      <x:c r="U45" s="147"/>
    </x:row>
    <x:row r="46" ht="22" customHeight="1">
      <x:c r="C46" s="143" t="str">
        <x:v>The selected case changes H2 forecasts; reported Q1 and Q2 actuals remain fixed.</x:v>
      </x:c>
      <x:c r="D46" s="144"/>
      <x:c r="E46" s="144"/>
      <x:c r="F46" s="144"/>
      <x:c r="G46" s="144"/>
      <x:c r="H46" s="144"/>
      <x:c r="I46" s="87"/>
      <x:c r="J46" s="87"/>
      <x:c r="K46" s="87"/>
      <x:c r="L46" s="87"/>
      <x:c r="M46" s="87"/>
      <x:c r="N46" s="87"/>
      <x:c r="O46" s="87"/>
      <x:c r="P46" s="87"/>
      <x:c r="Q46" s="87"/>
      <x:c r="R46" s="87"/>
      <x:c r="S46" s="147"/>
      <x:c r="T46" s="147"/>
      <x:c r="U46" s="147"/>
    </x:row>
    <x:row r="47" ht="22" customHeight="1">
      <x:c r="C47" s="2"/>
      <x:c r="D47" s="34"/>
      <x:c r="E47" s="34"/>
      <x:c r="F47" s="34"/>
      <x:c r="G47" s="34"/>
      <x:c r="H47" s="34"/>
      <x:c r="I47" s="2"/>
      <x:c r="J47" s="2"/>
      <x:c r="K47" s="2"/>
      <x:c r="L47" s="2"/>
      <x:c r="M47" s="2"/>
      <x:c r="N47" s="2"/>
      <x:c r="O47" s="2"/>
      <x:c r="P47" s="2"/>
      <x:c r="Q47" s="2"/>
      <x:c r="S47" s="149"/>
      <x:c r="T47" s="149"/>
      <x:c r="U47" s="149"/>
    </x:row>
    <x:row r="48" ht="22" customHeight="1">
      <x:c r="C48" s="2"/>
      <x:c r="D48" s="34"/>
      <x:c r="E48" s="34"/>
      <x:c r="F48" s="34"/>
      <x:c r="G48" s="34"/>
      <x:c r="H48" s="34"/>
      <x:c r="I48" s="2"/>
      <x:c r="J48" s="2"/>
      <x:c r="K48" s="2"/>
      <x:c r="L48" s="2"/>
      <x:c r="M48" s="2"/>
      <x:c r="N48" s="2"/>
      <x:c r="O48" s="2"/>
      <x:c r="P48" s="2"/>
      <x:c r="Q48" s="2"/>
      <x:c r="S48" s="149"/>
      <x:c r="T48" s="149"/>
      <x:c r="U48" s="149"/>
    </x:row>
    <x:row r="49" ht="22" customHeight="1">
      <x:c r="C49" s="2"/>
      <x:c r="D49" s="34"/>
      <x:c r="E49" s="34"/>
      <x:c r="F49" s="34"/>
      <x:c r="G49" s="34"/>
      <x:c r="H49" s="34"/>
      <x:c r="I49" s="2"/>
      <x:c r="J49" s="2"/>
      <x:c r="K49" s="2"/>
      <x:c r="L49" s="2"/>
      <x:c r="M49" s="2"/>
      <x:c r="N49" s="2"/>
      <x:c r="O49" s="2"/>
      <x:c r="P49" s="2"/>
      <x:c r="Q49" s="2"/>
      <x:c r="S49" s="149"/>
      <x:c r="T49" s="149"/>
      <x:c r="U49" s="149"/>
    </x:row>
    <x:row r="50" ht="22" customHeight="1">
      <x:c r="C50" s="2"/>
      <x:c r="D50" s="34"/>
      <x:c r="E50" s="34"/>
      <x:c r="F50" s="34"/>
      <x:c r="G50" s="34"/>
      <x:c r="H50" s="34"/>
      <x:c r="I50" s="2"/>
      <x:c r="J50" s="2"/>
      <x:c r="K50" s="2"/>
      <x:c r="L50" s="2"/>
      <x:c r="M50" s="2"/>
      <x:c r="N50" s="2"/>
      <x:c r="O50" s="2"/>
      <x:c r="P50" s="2"/>
      <x:c r="Q50" s="2"/>
      <x:c r="S50" s="149"/>
      <x:c r="T50" s="149"/>
      <x:c r="U50" s="149"/>
    </x:row>
    <x:row r="5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S51" s="149"/>
      <x:c r="T51" s="149"/>
      <x:c r="U51" s="149"/>
    </x:row>
    <x:row r="52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S52" s="149"/>
      <x:c r="T52" s="149"/>
      <x:c r="U52" s="149"/>
    </x:row>
    <x:row r="53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S53" s="149"/>
      <x:c r="T53" s="149"/>
      <x:c r="U53" s="149"/>
    </x:row>
    <x:row r="54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S54" s="149"/>
      <x:c r="T54" s="149"/>
      <x:c r="U54" s="149"/>
    </x:row>
    <x:row r="55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S55" s="149"/>
      <x:c r="T55" s="149"/>
      <x:c r="U55" s="149"/>
    </x:row>
  </x:sheetData>
  <x:pageMargins left="0.7" right="0.7" top="0.75" bottom="0.75" header="0.3" footer="0.3"/>
  <x:drawing xmlns:r="http://schemas.openxmlformats.org/officeDocument/2006/relationships" r:id="R5aba2b3ad7fa4e3b"/>
</x:worksheet>
</file>

<file path=xl/worksheets/sheet2.xml><?xml version="1.0" encoding="utf-8"?>
<x:worksheet xmlns:x="http://schemas.openxmlformats.org/spreadsheetml/2006/main">
  <x:sheetPr>
    <x:tabColor rgb="FF244D73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</x:cols>
  <x:sheetData>
    <x:row r="2" ht="27" customHeight="1">
      <x:c r="C2" s="99" t="str">
        <x:v>Forecast assumptions</x:v>
      </x:c>
      <x:c r="D2" s="86"/>
      <x:c r="E2" s="86"/>
      <x:c r="F2" s="86"/>
      <x:c r="G2" s="21"/>
      <x:c r="H2" s="21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C3" s="100" t="str">
        <x:v>USD millions except customer counts and percentages. Blue cells are editable inputs.</x:v>
      </x:c>
      <x:c r="D3" s="100"/>
      <x:c r="E3" s="100"/>
      <x:c r="F3" s="100"/>
      <x:c r="G3" s="22"/>
      <x:c r="H3" s="2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C4" s="87"/>
      <x:c r="D4" s="87"/>
      <x:c r="E4" s="87"/>
      <x:c r="F4" s="87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C5" s="103" t="str">
        <x:v>Selected case</x:v>
      </x:c>
      <x:c r="D5" s="176" t="n">
        <x:v>1</x:v>
      </x:c>
      <x:c r="E5" s="177"/>
      <x:c r="F5" s="178" t="str">
        <x:f>IF(D5=1,"Base","Downside")</x:f>
        <x:v>Base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C6" s="87" t="str">
        <x:v>1 = Base; 2 = Downside</x:v>
      </x:c>
      <x:c r="D6" s="87"/>
      <x:c r="E6" s="87"/>
      <x:c r="F6" s="87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C7" s="87"/>
      <x:c r="D7" s="87"/>
      <x:c r="E7" s="87"/>
      <x:c r="F7" s="87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C8" s="87" t="str">
        <x:v>Q2 plan net customer additions</x:v>
      </x:c>
      <x:c r="D8" s="181" t="n">
        <x:v>7000</x:v>
      </x:c>
      <x:c r="E8" s="87"/>
      <x:c r="F8" s="87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C9" s="87" t="str">
        <x:v>Q2 revenue guidance midpoint</x:v>
      </x:c>
      <x:c r="D9" s="182" t="n">
        <x:f>'Source actuals'!D19</x:f>
        <x:v>897.5</x:v>
      </x:c>
      <x:c r="E9" s="87"/>
      <x:c r="F9" s="87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C10" s="87" t="str">
        <x:v>Q2 plan services revenue</x:v>
      </x:c>
      <x:c r="D10" s="183" t="n">
        <x:v>18.7</x:v>
      </x:c>
      <x:c r="E10" s="87"/>
      <x:c r="F10" s="87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34" customHeight="1">
      <x:c r="C11" s="87" t="str">
        <x:v>Plan methodology</x:v>
      </x:c>
      <x:c r="D11" s="87" t="str">
        <x:v>Published guidance midpoint; customer additions and services split are hypothetical.</x:v>
      </x:c>
      <x:c r="E11" s="87"/>
      <x:c r="F11" s="87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C12" s="87"/>
      <x:c r="D12" s="87"/>
      <x:c r="E12" s="87"/>
      <x:c r="F12" s="87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C13" s="109" t="str">
        <x:v>Forecast driver</x:v>
      </x:c>
      <x:c r="D13" s="108" t="str">
        <x:v>Q3:26</x:v>
      </x:c>
      <x:c r="E13" s="108" t="str">
        <x:v>Q4:26</x:v>
      </x:c>
      <x:c r="F13" s="87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C14" s="137" t="str">
        <x:v>Net customer additions - active</x:v>
      </x:c>
      <x:c r="D14" s="194" t="n">
        <x:f>IF($D$5=1,D15,D16)</x:f>
        <x:v>8000</x:v>
      </x:c>
      <x:c r="E14" s="194" t="n">
        <x:f>IF($D$5=1,E15,E16)</x:f>
        <x:v>9500</x:v>
      </x:c>
      <x:c r="F14" s="87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C15" s="87" t="str">
        <x:v>Base</x:v>
      </x:c>
      <x:c r="D15" s="181" t="n">
        <x:v>8000</x:v>
      </x:c>
      <x:c r="E15" s="181" t="n">
        <x:v>9500</x:v>
      </x:c>
      <x:c r="F15" s="87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C16" s="87" t="str">
        <x:v>Downside</x:v>
      </x:c>
      <x:c r="D16" s="181" t="n">
        <x:v>4000</x:v>
      </x:c>
      <x:c r="E16" s="181" t="n">
        <x:v>4500</x:v>
      </x:c>
      <x:c r="F16" s="87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C17" s="87"/>
      <x:c r="D17" s="87"/>
      <x:c r="E17" s="87"/>
      <x:c r="F17" s="87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C18" s="137" t="str">
        <x:v>Yield change, q/q - active</x:v>
      </x:c>
      <x:c r="D18" s="195" t="n">
        <x:f>IF($D$5=1,D19,D20)</x:f>
        <x:v>0.005</x:v>
      </x:c>
      <x:c r="E18" s="195" t="n">
        <x:f>IF($D$5=1,E19,E20)</x:f>
        <x:v>0.005</x:v>
      </x:c>
      <x:c r="F18" s="87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C19" s="87" t="str">
        <x:v>Base</x:v>
      </x:c>
      <x:c r="D19" s="196" t="n">
        <x:v>0.005</x:v>
      </x:c>
      <x:c r="E19" s="196" t="n">
        <x:v>0.005</x:v>
      </x:c>
      <x:c r="F19" s="87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C20" s="87" t="str">
        <x:v>Downside</x:v>
      </x:c>
      <x:c r="D20" s="196" t="n">
        <x:v>-0.01</x:v>
      </x:c>
      <x:c r="E20" s="196" t="n">
        <x:v>-0.005</x:v>
      </x:c>
      <x:c r="F20" s="87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C21" s="87"/>
      <x:c r="D21" s="87"/>
      <x:c r="E21" s="87"/>
      <x:c r="F21" s="87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C22" s="137" t="str">
        <x:v>Services revenue - active</x:v>
      </x:c>
      <x:c r="D22" s="197" t="n">
        <x:f>IF($D$5=1,D23,D24)</x:f>
        <x:v>18</x:v>
      </x:c>
      <x:c r="E22" s="197" t="n">
        <x:f>IF($D$5=1,E23,E24)</x:f>
        <x:v>18.5</x:v>
      </x:c>
      <x:c r="F22" s="87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C23" s="87" t="str">
        <x:v>Base</x:v>
      </x:c>
      <x:c r="D23" s="183" t="n">
        <x:v>18</x:v>
      </x:c>
      <x:c r="E23" s="183" t="n">
        <x:v>18.5</x:v>
      </x:c>
      <x:c r="F23" s="87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C24" s="87" t="str">
        <x:v>Downside</x:v>
      </x:c>
      <x:c r="D24" s="183" t="n">
        <x:v>17</x:v>
      </x:c>
      <x:c r="E24" s="183" t="n">
        <x:v>17</x:v>
      </x:c>
      <x:c r="F24" s="87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C25" s="87"/>
      <x:c r="D25" s="87"/>
      <x:c r="E25" s="87"/>
      <x:c r="F25" s="87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C26" s="137" t="str">
        <x:v>Subscription cost rate - active</x:v>
      </x:c>
      <x:c r="D26" s="195" t="n">
        <x:f>IF($D$5=1,D27,D28)</x:f>
        <x:v>0.163</x:v>
      </x:c>
      <x:c r="E26" s="195" t="n">
        <x:f>IF($D$5=1,E27,E28)</x:f>
        <x:v>0.165</x:v>
      </x:c>
      <x:c r="F26" s="87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C27" s="87" t="str">
        <x:v>Base</x:v>
      </x:c>
      <x:c r="D27" s="196" t="n">
        <x:v>0.163</x:v>
      </x:c>
      <x:c r="E27" s="196" t="n">
        <x:v>0.165</x:v>
      </x:c>
      <x:c r="F27" s="87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C28" s="87" t="str">
        <x:v>Downside</x:v>
      </x:c>
      <x:c r="D28" s="196" t="n">
        <x:v>0.17</x:v>
      </x:c>
      <x:c r="E28" s="196" t="n">
        <x:v>0.172</x:v>
      </x:c>
      <x:c r="F28" s="87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C29" s="87"/>
      <x:c r="D29" s="198"/>
      <x:c r="E29" s="198"/>
      <x:c r="F29" s="87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C30" s="137" t="str">
        <x:v>Services cost rate - active</x:v>
      </x:c>
      <x:c r="D30" s="195" t="n">
        <x:f>IF($D$5=1,D31,D32)</x:f>
        <x:v>0.84</x:v>
      </x:c>
      <x:c r="E30" s="195" t="n">
        <x:f>IF($D$5=1,E31,E32)</x:f>
        <x:v>0.84</x:v>
      </x:c>
      <x:c r="F30" s="87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C31" s="87" t="str">
        <x:v>Base</x:v>
      </x:c>
      <x:c r="D31" s="196" t="n">
        <x:v>0.84</x:v>
      </x:c>
      <x:c r="E31" s="196" t="n">
        <x:v>0.84</x:v>
      </x:c>
      <x:c r="F31" s="87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C32" s="87" t="str">
        <x:v>Downside</x:v>
      </x:c>
      <x:c r="D32" s="196" t="n">
        <x:v>0.86</x:v>
      </x:c>
      <x:c r="E32" s="196" t="n">
        <x:v>0.87</x:v>
      </x:c>
      <x:c r="F32" s="87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C33" s="87"/>
      <x:c r="D33" s="198"/>
      <x:c r="E33" s="198"/>
      <x:c r="F33" s="87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C34" s="137" t="str">
        <x:v>R&amp;D / total revenue - active</x:v>
      </x:c>
      <x:c r="D34" s="195" t="n">
        <x:f>IF($D$5=1,D35,D36)</x:f>
        <x:v>0.25</x:v>
      </x:c>
      <x:c r="E34" s="195" t="n">
        <x:f>IF($D$5=1,E35,E36)</x:f>
        <x:v>0.247</x:v>
      </x:c>
      <x:c r="F34" s="87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C35" s="87" t="str">
        <x:v>Base</x:v>
      </x:c>
      <x:c r="D35" s="196" t="n">
        <x:v>0.25</x:v>
      </x:c>
      <x:c r="E35" s="196" t="n">
        <x:v>0.247</x:v>
      </x:c>
      <x:c r="F35" s="87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C36" s="87" t="str">
        <x:v>Downside</x:v>
      </x:c>
      <x:c r="D36" s="196" t="n">
        <x:v>0.258</x:v>
      </x:c>
      <x:c r="E36" s="196" t="n">
        <x:v>0.258</x:v>
      </x:c>
      <x:c r="F36" s="87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C37" s="87"/>
      <x:c r="D37" s="198"/>
      <x:c r="E37" s="198"/>
      <x:c r="F37" s="87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C38" s="137" t="str">
        <x:v>S&amp;M / total revenue - active</x:v>
      </x:c>
      <x:c r="D38" s="195" t="n">
        <x:f>IF($D$5=1,D39,D40)</x:f>
        <x:v>0.435</x:v>
      </x:c>
      <x:c r="E38" s="195" t="n">
        <x:f>IF($D$5=1,E39,E40)</x:f>
        <x:v>0.433</x:v>
      </x:c>
      <x:c r="F38" s="87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C39" s="87" t="str">
        <x:v>Base</x:v>
      </x:c>
      <x:c r="D39" s="196" t="n">
        <x:v>0.435</x:v>
      </x:c>
      <x:c r="E39" s="196" t="n">
        <x:v>0.433</x:v>
      </x:c>
      <x:c r="F39" s="87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C40" s="87" t="str">
        <x:v>Downside</x:v>
      </x:c>
      <x:c r="D40" s="196" t="n">
        <x:v>0.445</x:v>
      </x:c>
      <x:c r="E40" s="196" t="n">
        <x:v>0.445</x:v>
      </x:c>
      <x:c r="F40" s="87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C41" s="87"/>
      <x:c r="D41" s="198"/>
      <x:c r="E41" s="198"/>
      <x:c r="F41" s="87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C42" s="137" t="str">
        <x:v>G&amp;A / total revenue - active</x:v>
      </x:c>
      <x:c r="D42" s="195" t="n">
        <x:f>IF($D$5=1,D43,D44)</x:f>
        <x:v>0.091</x:v>
      </x:c>
      <x:c r="E42" s="195" t="n">
        <x:f>IF($D$5=1,E43,E44)</x:f>
        <x:v>0.09</x:v>
      </x:c>
      <x:c r="F42" s="87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C43" s="87" t="str">
        <x:v>Base</x:v>
      </x:c>
      <x:c r="D43" s="196" t="n">
        <x:v>0.091</x:v>
      </x:c>
      <x:c r="E43" s="196" t="n">
        <x:v>0.09</x:v>
      </x:c>
      <x:c r="F43" s="87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C44" s="87" t="str">
        <x:v>Downside</x:v>
      </x:c>
      <x:c r="D44" s="196" t="n">
        <x:v>0.093</x:v>
      </x:c>
      <x:c r="E44" s="196" t="n">
        <x:v>0.094</x:v>
      </x:c>
      <x:c r="F44" s="87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C45" s="87"/>
      <x:c r="D45" s="87"/>
      <x:c r="E45" s="87"/>
      <x:c r="F45" s="87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C46" s="137" t="str">
        <x:v>Restructuring - active</x:v>
      </x:c>
      <x:c r="D46" s="197" t="n">
        <x:f>IF($D$5=1,D47,D48)</x:f>
        <x:v>1.1</x:v>
      </x:c>
      <x:c r="E46" s="197" t="n">
        <x:f>IF($D$5=1,E47,E48)</x:f>
        <x:v>1.1</x:v>
      </x:c>
      <x:c r="F46" s="87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C47" s="87" t="str">
        <x:v>Base</x:v>
      </x:c>
      <x:c r="D47" s="183" t="n">
        <x:v>1.1</x:v>
      </x:c>
      <x:c r="E47" s="183" t="n">
        <x:v>1.1</x:v>
      </x:c>
      <x:c r="F47" s="87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C48" s="87" t="str">
        <x:v>Downside</x:v>
      </x:c>
      <x:c r="D48" s="183" t="n">
        <x:v>1.1</x:v>
      </x:c>
      <x:c r="E48" s="183" t="n">
        <x:v>1.1</x:v>
      </x:c>
      <x:c r="F48" s="87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</x:sheetData>
  <x:dataValidations count="1">
    <x:dataValidation type="list" sqref="D5">
      <x:formula1>"1,2"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7" customHeight="1">
      <x:c r="C2" s="99" t="str">
        <x:v>HubSpot operating model</x:v>
      </x:c>
      <x:c r="D2" s="86"/>
      <x:c r="E2" s="86"/>
      <x:c r="F2" s="86"/>
      <x:c r="G2" s="86"/>
      <x:c r="H2" s="86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C3" s="100" t="str">
        <x:v>GAAP operating forecast. USD millions except customer counts, yield, and percentages.</x:v>
      </x:c>
      <x:c r="D3" s="100"/>
      <x:c r="E3" s="100"/>
      <x:c r="F3" s="100"/>
      <x:c r="G3" s="100"/>
      <x:c r="H3" s="100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C4" s="101" t="str">
        <x:v>Selected case</x:v>
      </x:c>
      <x:c r="D4" s="175" t="str">
        <x:f>'Assumptions'!F5</x:f>
        <x:v>Base</x:v>
      </x:c>
      <x:c r="E4" s="87"/>
      <x:c r="F4" s="87"/>
      <x:c r="G4" s="87"/>
      <x:c r="H4" s="87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C5" s="109" t="str">
        <x:v>Metric</x:v>
      </x:c>
      <x:c r="D5" s="108" t="str">
        <x:v>Q1:26 actual</x:v>
      </x:c>
      <x:c r="E5" s="108" t="str">
        <x:v>Q2:26 plan</x:v>
      </x:c>
      <x:c r="F5" s="108" t="str">
        <x:v>Q2:26 actual</x:v>
      </x:c>
      <x:c r="G5" s="108" t="str">
        <x:v>Q3:26 forecast</x:v>
      </x:c>
      <x:c r="H5" s="108" t="str">
        <x:v>Q4:26 forecast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C6" s="87"/>
      <x:c r="D6" s="90"/>
      <x:c r="E6" s="90"/>
      <x:c r="F6" s="90"/>
      <x:c r="G6" s="90"/>
      <x:c r="H6" s="90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C7" s="87" t="str">
        <x:v>Beginning customers</x:v>
      </x:c>
      <x:c r="D7" s="211" t="n">
        <x:f>'Source actuals'!D16</x:f>
        <x:v>288706</x:v>
      </x:c>
      <x:c r="E7" s="208" t="n">
        <x:f>D9</x:f>
        <x:v>299458</x:v>
      </x:c>
      <x:c r="F7" s="208" t="n">
        <x:f>D9</x:f>
        <x:v>299458</x:v>
      </x:c>
      <x:c r="G7" s="208" t="n">
        <x:f>F9</x:f>
        <x:v>306446</x:v>
      </x:c>
      <x:c r="H7" s="208" t="n">
        <x:f>G9</x:f>
        <x:v>314446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C8" s="87" t="str">
        <x:v>Net customer additions</x:v>
      </x:c>
      <x:c r="D8" s="208" t="n">
        <x:f>D9-D7</x:f>
        <x:v>10752</x:v>
      </x:c>
      <x:c r="E8" s="211" t="n">
        <x:f>'Assumptions'!D8</x:f>
        <x:v>7000</x:v>
      </x:c>
      <x:c r="F8" s="208" t="n">
        <x:f>F9-F7</x:f>
        <x:v>6988</x:v>
      </x:c>
      <x:c r="G8" s="211" t="n">
        <x:f>'Assumptions'!D14</x:f>
        <x:v>8000</x:v>
      </x:c>
      <x:c r="H8" s="211" t="n">
        <x:f>'Assumptions'!E14</x:f>
        <x:v>9500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C9" s="87" t="str">
        <x:v>Ending customers</x:v>
      </x:c>
      <x:c r="D9" s="211" t="n">
        <x:f>'Source actuals'!D17</x:f>
        <x:v>299458</x:v>
      </x:c>
      <x:c r="E9" s="208" t="n">
        <x:f>SUM(E7:E8)</x:f>
        <x:v>306458</x:v>
      </x:c>
      <x:c r="F9" s="211" t="n">
        <x:f>'Source actuals'!D18</x:f>
        <x:v>306446</x:v>
      </x:c>
      <x:c r="G9" s="208" t="n">
        <x:f>SUM(G7:G8)</x:f>
        <x:v>314446</x:v>
      </x:c>
      <x:c r="H9" s="208" t="n">
        <x:f>SUM(H7:H8)</x:f>
        <x:v>323946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C10" s="88" t="str">
        <x:v>Average customers</x:v>
      </x:c>
      <x:c r="D10" s="209" t="n">
        <x:f>AVERAGE(D7,D9)</x:f>
        <x:v>294082</x:v>
      </x:c>
      <x:c r="E10" s="209" t="n">
        <x:f>AVERAGE(E7,E9)</x:f>
        <x:v>302958</x:v>
      </x:c>
      <x:c r="F10" s="209" t="n">
        <x:f>AVERAGE(F7,F9)</x:f>
        <x:v>302952</x:v>
      </x:c>
      <x:c r="G10" s="209" t="n">
        <x:f>AVERAGE(G7,G9)</x:f>
        <x:v>310446</x:v>
      </x:c>
      <x:c r="H10" s="209" t="n">
        <x:f>AVERAGE(H7,H9)</x:f>
        <x:v>319196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C11" s="88" t="str">
        <x:v>Effective quarterly yield per average customer ($)</x:v>
      </x:c>
      <x:c r="D11" s="210" t="n">
        <x:f>D12*1000000/D10</x:f>
        <x:v>2932.052964819336</x:v>
      </x:c>
      <x:c r="E11" s="210" t="n">
        <x:f>('Assumptions'!D9-E13)*1000000/E10</x:f>
        <x:v>2900.7321146825634</x:v>
      </x:c>
      <x:c r="F11" s="210" t="n">
        <x:f>F12*1000000/F10</x:f>
        <x:v>2951.0450500409306</x:v>
      </x:c>
      <x:c r="G11" s="210" t="n">
        <x:f>F11*(1+'Assumptions'!D18)</x:f>
        <x:v>2965.8002752911348</x:v>
      </x:c>
      <x:c r="H11" s="210" t="n">
        <x:f>G11*(1+'Assumptions'!E18)</x:f>
        <x:v>2980.62927666759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C12" s="87" t="str">
        <x:v>Subscription revenue</x:v>
      </x:c>
      <x:c r="D12" s="212" t="n">
        <x:f>'Source actuals'!E7-'Source actuals'!D7</x:f>
        <x:v>862.264</x:v>
      </x:c>
      <x:c r="E12" s="122" t="n">
        <x:f>E10*E11/1000000</x:f>
        <x:v>878.8</x:v>
      </x:c>
      <x:c r="F12" s="212" t="n">
        <x:f>'Source actuals'!D7</x:f>
        <x:v>894.025</x:v>
      </x:c>
      <x:c r="G12" s="122" t="n">
        <x:f>G10*G11/1000000</x:f>
        <x:v>920.7208322630316</x:v>
      </x:c>
      <x:c r="H12" s="122" t="n">
        <x:f>H10*H11/1000000</x:f>
        <x:v>951.4049425951881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C13" s="87" t="str">
        <x:v>Services and other revenue</x:v>
      </x:c>
      <x:c r="D13" s="213" t="n">
        <x:f>'Source actuals'!E8-'Source actuals'!D8</x:f>
        <x:v>18.730999999999998</x:v>
      </x:c>
      <x:c r="E13" s="213" t="n">
        <x:f>'Assumptions'!D10</x:f>
        <x:v>18.7</x:v>
      </x:c>
      <x:c r="F13" s="213" t="n">
        <x:f>'Source actuals'!D8</x:f>
        <x:v>17.715</x:v>
      </x:c>
      <x:c r="G13" s="213" t="n">
        <x:f>'Assumptions'!D22</x:f>
        <x:v>18</x:v>
      </x:c>
      <x:c r="H13" s="213" t="n">
        <x:f>'Assumptions'!E22</x:f>
        <x:v>18.5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C14" s="140" t="str">
        <x:v>Total revenue</x:v>
      </x:c>
      <x:c r="D14" s="142" t="n">
        <x:f>SUM(D12:D13)</x:f>
        <x:v>880.995</x:v>
      </x:c>
      <x:c r="E14" s="142" t="n">
        <x:f>SUM(E12:E13)</x:f>
        <x:v>897.5</x:v>
      </x:c>
      <x:c r="F14" s="142" t="n">
        <x:f>SUM(F12:F13)</x:f>
        <x:v>911.74</x:v>
      </x:c>
      <x:c r="G14" s="142" t="n">
        <x:f>SUM(G12:G13)</x:f>
        <x:v>938.7208322630316</x:v>
      </x:c>
      <x:c r="H14" s="142" t="n">
        <x:f>SUM(H12:H13)</x:f>
        <x:v>969.9049425951881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C15" s="87"/>
      <x:c r="D15" s="90"/>
      <x:c r="E15" s="90"/>
      <x:c r="F15" s="90"/>
      <x:c r="G15" s="90"/>
      <x:c r="H15" s="90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C16" s="88" t="str">
        <x:v>Subscription cost rate</x:v>
      </x:c>
      <x:c r="D16" s="119" t="n">
        <x:f>D18/D12</x:f>
        <x:v>0.1492860655205366</x:v>
      </x:c>
      <x:c r="E16" s="119" t="n">
        <x:f>D16</x:f>
        <x:v>0.1492860655205366</x:v>
      </x:c>
      <x:c r="F16" s="119" t="n">
        <x:f>F18/F12</x:f>
        <x:v>0.163258298146025</x:v>
      </x:c>
      <x:c r="G16" s="214" t="n">
        <x:f>'Assumptions'!D26</x:f>
        <x:v>0.163</x:v>
      </x:c>
      <x:c r="H16" s="214" t="n">
        <x:f>'Assumptions'!E26</x:f>
        <x:v>0.165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C17" s="88" t="str">
        <x:v>Services cost rate</x:v>
      </x:c>
      <x:c r="D17" s="119" t="n">
        <x:f>D19/D13</x:f>
        <x:v>0.9059313437616785</x:v>
      </x:c>
      <x:c r="E17" s="119" t="n">
        <x:f>D17</x:f>
        <x:v>0.9059313437616785</x:v>
      </x:c>
      <x:c r="F17" s="119" t="n">
        <x:f>F19/F13</x:f>
        <x:v>0.8423370025402201</x:v>
      </x:c>
      <x:c r="G17" s="214" t="n">
        <x:f>'Assumptions'!D30</x:f>
        <x:v>0.84</x:v>
      </x:c>
      <x:c r="H17" s="214" t="n">
        <x:f>'Assumptions'!E30</x:f>
        <x:v>0.84</x:v>
      </x:c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C18" s="87" t="str">
        <x:v>Subscription cost of revenue</x:v>
      </x:c>
      <x:c r="D18" s="213" t="n">
        <x:f>'Source actuals'!E9-'Source actuals'!D9</x:f>
        <x:v>128.724</x:v>
      </x:c>
      <x:c r="E18" s="133" t="n">
        <x:f>E12*E16</x:f>
        <x:v>131.19259437944757</x:v>
      </x:c>
      <x:c r="F18" s="213" t="n">
        <x:f>'Source actuals'!D9</x:f>
        <x:v>145.957</x:v>
      </x:c>
      <x:c r="G18" s="133" t="n">
        <x:f>G12*G16</x:f>
        <x:v>150.07749565887417</x:v>
      </x:c>
      <x:c r="H18" s="133" t="n">
        <x:f>H12*H16</x:f>
        <x:v>156.98181552820606</x:v>
      </x:c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C19" s="87" t="str">
        <x:v>Services cost of revenue</x:v>
      </x:c>
      <x:c r="D19" s="213" t="n">
        <x:f>'Source actuals'!E10-'Source actuals'!D10</x:f>
        <x:v>16.968999999999998</x:v>
      </x:c>
      <x:c r="E19" s="133" t="n">
        <x:f>E13*E17</x:f>
        <x:v>16.94091612834339</x:v>
      </x:c>
      <x:c r="F19" s="213" t="n">
        <x:f>'Source actuals'!D10</x:f>
        <x:v>14.922</x:v>
      </x:c>
      <x:c r="G19" s="133" t="n">
        <x:f>G13*G17</x:f>
        <x:v>15.12</x:v>
      </x:c>
      <x:c r="H19" s="133" t="n">
        <x:f>H13*H17</x:f>
        <x:v>15.54</x:v>
      </x:c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C20" s="140" t="str">
        <x:v>Gross profit</x:v>
      </x:c>
      <x:c r="D20" s="142" t="n">
        <x:f>D14-SUM(D18:D19)</x:f>
        <x:v>735.302</x:v>
      </x:c>
      <x:c r="E20" s="142" t="n">
        <x:f>E14-SUM(E18:E19)</x:f>
        <x:v>749.366489492209</x:v>
      </x:c>
      <x:c r="F20" s="142" t="n">
        <x:f>F14-SUM(F18:F19)</x:f>
        <x:v>750.861</x:v>
      </x:c>
      <x:c r="G20" s="142" t="n">
        <x:f>G14-SUM(G18:G19)</x:f>
        <x:v>773.5233366041575</x:v>
      </x:c>
      <x:c r="H20" s="142" t="n">
        <x:f>H14-SUM(H18:H19)</x:f>
        <x:v>797.3831270669821</x:v>
      </x:c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C21" s="88" t="str">
        <x:v>Gross margin</x:v>
      </x:c>
      <x:c r="D21" s="119" t="n">
        <x:f>D20/D14</x:f>
        <x:v>0.8346267572460684</x:v>
      </x:c>
      <x:c r="E21" s="119" t="n">
        <x:f>E20/E14</x:f>
        <x:v>0.8349487348102607</x:v>
      </x:c>
      <x:c r="F21" s="119" t="n">
        <x:f>F20/F14</x:f>
        <x:v>0.8235472832167064</x:v>
      </x:c>
      <x:c r="G21" s="119" t="n">
        <x:f>G20/G14</x:f>
        <x:v>0.8240185047767371</x:v>
      </x:c>
      <x:c r="H21" s="119" t="n">
        <x:f>H20/H14</x:f>
        <x:v>0.8221250269468809</x:v>
      </x:c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C22" s="87"/>
      <x:c r="D22" s="90"/>
      <x:c r="E22" s="90"/>
      <x:c r="F22" s="90"/>
      <x:c r="G22" s="90"/>
      <x:c r="H22" s="90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C23" s="88" t="str">
        <x:v>R&amp;D / revenue</x:v>
      </x:c>
      <x:c r="D23" s="119" t="n">
        <x:f>D26/D14</x:f>
        <x:v>0.2658289774629822</x:v>
      </x:c>
      <x:c r="E23" s="119" t="n">
        <x:f>D23</x:f>
        <x:v>0.2658289774629822</x:v>
      </x:c>
      <x:c r="F23" s="119" t="n">
        <x:f>F26/F14</x:f>
        <x:v>0.2476835501349069</x:v>
      </x:c>
      <x:c r="G23" s="214" t="n">
        <x:f>'Assumptions'!D34</x:f>
        <x:v>0.25</x:v>
      </x:c>
      <x:c r="H23" s="214" t="n">
        <x:f>'Assumptions'!E34</x:f>
        <x:v>0.247</x:v>
      </x:c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C24" s="88" t="str">
        <x:v>S&amp;M / revenue</x:v>
      </x:c>
      <x:c r="D24" s="119" t="n">
        <x:f>D27/D14</x:f>
        <x:v>0.43863018518833824</x:v>
      </x:c>
      <x:c r="E24" s="119" t="n">
        <x:f>D24</x:f>
        <x:v>0.43863018518833824</x:v>
      </x:c>
      <x:c r="F24" s="119" t="n">
        <x:f>F27/F14</x:f>
        <x:v>0.43620659398512734</x:v>
      </x:c>
      <x:c r="G24" s="214" t="n">
        <x:f>'Assumptions'!D38</x:f>
        <x:v>0.435</x:v>
      </x:c>
      <x:c r="H24" s="214" t="n">
        <x:f>'Assumptions'!E38</x:f>
        <x:v>0.433</x:v>
      </x:c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C25" s="88" t="str">
        <x:v>G&amp;A / revenue</x:v>
      </x:c>
      <x:c r="D25" s="119" t="n">
        <x:f>D28/D14</x:f>
        <x:v>0.09720827019449597</x:v>
      </x:c>
      <x:c r="E25" s="119" t="n">
        <x:f>D25</x:f>
        <x:v>0.09720827019449597</x:v>
      </x:c>
      <x:c r="F25" s="119" t="n">
        <x:f>F28/F14</x:f>
        <x:v>0.09096452936144077</x:v>
      </x:c>
      <x:c r="G25" s="214" t="n">
        <x:f>'Assumptions'!D42</x:f>
        <x:v>0.091</x:v>
      </x:c>
      <x:c r="H25" s="214" t="n">
        <x:f>'Assumptions'!E42</x:f>
        <x:v>0.09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C26" s="87" t="str">
        <x:v>Research and development</x:v>
      </x:c>
      <x:c r="D26" s="213" t="n">
        <x:f>'Source actuals'!E11-'Source actuals'!D11</x:f>
        <x:v>234.194</x:v>
      </x:c>
      <x:c r="E26" s="133" t="n">
        <x:f>E14*E23</x:f>
        <x:v>238.5815072730265</x:v>
      </x:c>
      <x:c r="F26" s="213" t="n">
        <x:f>'Source actuals'!D11</x:f>
        <x:v>225.823</x:v>
      </x:c>
      <x:c r="G26" s="133" t="n">
        <x:f>G14*G23</x:f>
        <x:v>234.6802080657579</x:v>
      </x:c>
      <x:c r="H26" s="133" t="n">
        <x:f>H14*H23</x:f>
        <x:v>239.56652082101147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C27" s="87" t="str">
        <x:v>Sales and marketing</x:v>
      </x:c>
      <x:c r="D27" s="213" t="n">
        <x:f>'Source actuals'!E12-'Source actuals'!D12</x:f>
        <x:v>386.43100000000004</x:v>
      </x:c>
      <x:c r="E27" s="133" t="n">
        <x:f>E14*E24</x:f>
        <x:v>393.6705912065336</x:v>
      </x:c>
      <x:c r="F27" s="213" t="n">
        <x:f>'Source actuals'!D12</x:f>
        <x:v>397.707</x:v>
      </x:c>
      <x:c r="G27" s="133" t="n">
        <x:f>G14*G24</x:f>
        <x:v>408.34356203441877</x:v>
      </x:c>
      <x:c r="H27" s="133" t="n">
        <x:f>H14*H24</x:f>
        <x:v>419.9688401437165</x:v>
      </x:c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C28" s="87" t="str">
        <x:v>General and administrative</x:v>
      </x:c>
      <x:c r="D28" s="213" t="n">
        <x:f>'Source actuals'!E13-'Source actuals'!D13</x:f>
        <x:v>85.63999999999999</x:v>
      </x:c>
      <x:c r="E28" s="133" t="n">
        <x:f>E14*E25</x:f>
        <x:v>87.24442249956013</x:v>
      </x:c>
      <x:c r="F28" s="213" t="n">
        <x:f>'Source actuals'!D13</x:f>
        <x:v>82.936</x:v>
      </x:c>
      <x:c r="G28" s="133" t="n">
        <x:f>G14*G25</x:f>
        <x:v>85.42359573593588</x:v>
      </x:c>
      <x:c r="H28" s="133" t="n">
        <x:f>H14*H25</x:f>
        <x:v>87.29144483356693</x:v>
      </x:c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C29" s="87" t="str">
        <x:v>Restructuring</x:v>
      </x:c>
      <x:c r="D29" s="213" t="n">
        <x:f>'Source actuals'!E14-'Source actuals'!D14</x:f>
        <x:v>1.093</x:v>
      </x:c>
      <x:c r="E29" s="133" t="n">
        <x:f>D29</x:f>
        <x:v>1.093</x:v>
      </x:c>
      <x:c r="F29" s="213" t="n">
        <x:f>'Source actuals'!D14</x:f>
        <x:v>1.076</x:v>
      </x:c>
      <x:c r="G29" s="213" t="n">
        <x:f>'Assumptions'!D46</x:f>
        <x:v>1.1</x:v>
      </x:c>
      <x:c r="H29" s="213" t="n">
        <x:f>'Assumptions'!E46</x:f>
        <x:v>1.1</x:v>
      </x:c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C30" s="115" t="str">
        <x:v>Operating income</x:v>
      </x:c>
      <x:c r="D30" s="120" t="n">
        <x:f>D20-SUM(D26:D29)</x:f>
        <x:v>27.944000000000074</x:v>
      </x:c>
      <x:c r="E30" s="120" t="n">
        <x:f>E20-SUM(E26:E29)</x:f>
        <x:v>28.77696851308872</x:v>
      </x:c>
      <x:c r="F30" s="120" t="n">
        <x:f>F20-SUM(F26:F29)</x:f>
        <x:v>43.31899999999996</x:v>
      </x:c>
      <x:c r="G30" s="120" t="n">
        <x:f>G20-SUM(G26:G29)</x:f>
        <x:v>43.97597076804493</x:v>
      </x:c>
      <x:c r="H30" s="120" t="n">
        <x:f>H20-SUM(H26:H29)</x:f>
        <x:v>49.456321268687134</x:v>
      </x:c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C31" s="88" t="str">
        <x:v>Operating margin</x:v>
      </x:c>
      <x:c r="D31" s="119" t="n">
        <x:f>D30/D14</x:f>
        <x:v>0.03171868171783049</x:v>
      </x:c>
      <x:c r="E31" s="119" t="n">
        <x:f>E30/E14</x:f>
        <x:v>0.032063474666394115</x:v>
      </x:c>
      <x:c r="F31" s="119" t="n">
        <x:f>F30/F14</x:f>
        <x:v>0.047512448724417004</x:v>
      </x:c>
      <x:c r="G31" s="119" t="n">
        <x:f>G30/G14</x:f>
        <x:v>0.046846697395677664</x:v>
      </x:c>
      <x:c r="H31" s="119" t="n">
        <x:f>H30/H14</x:f>
        <x:v>0.05099089518644597</x:v>
      </x:c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C32" s="87"/>
      <x:c r="D32" s="90"/>
      <x:c r="E32" s="90"/>
      <x:c r="F32" s="90"/>
      <x:c r="G32" s="90"/>
      <x:c r="H32" s="90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C33" s="87"/>
      <x:c r="D33" s="90"/>
      <x:c r="E33" s="90"/>
      <x:c r="F33" s="90"/>
      <x:c r="G33" s="90"/>
      <x:c r="H33" s="90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C34" s="143" t="str">
        <x:v>Yield is a model proxy: subscription revenue / average beginning and ending customers.</x:v>
      </x:c>
      <x:c r="D34" s="144"/>
      <x:c r="E34" s="144"/>
      <x:c r="F34" s="144"/>
      <x:c r="G34" s="144"/>
      <x:c r="H34" s="144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C35" s="143" t="str">
        <x:v>It differs from HubSpot's reported average subscription revenue per customer.</x:v>
      </x:c>
      <x:c r="D35" s="144"/>
      <x:c r="E35" s="144"/>
      <x:c r="F35" s="144"/>
      <x:c r="G35" s="144"/>
      <x:c r="H35" s="144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C36" s="143" t="str">
        <x:v>Q2 plan is an analyst illustration, not an internal HubSpot budget.</x:v>
      </x:c>
      <x:c r="D36" s="144"/>
      <x:c r="E36" s="144"/>
      <x:c r="F36" s="144"/>
      <x:c r="G36" s="144"/>
      <x:c r="H36" s="144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C37" s="2"/>
      <x:c r="D37" s="34"/>
      <x:c r="E37" s="34"/>
      <x:c r="F37" s="34"/>
      <x:c r="G37" s="34"/>
      <x:c r="H37" s="34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C38" s="2"/>
      <x:c r="D38" s="34"/>
      <x:c r="E38" s="34"/>
      <x:c r="F38" s="34"/>
      <x:c r="G38" s="34"/>
      <x:c r="H38" s="34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C39" s="2"/>
      <x:c r="D39" s="34"/>
      <x:c r="E39" s="34"/>
      <x:c r="F39" s="34"/>
      <x:c r="G39" s="34"/>
      <x:c r="H39" s="34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C40" s="2"/>
      <x:c r="D40" s="34"/>
      <x:c r="E40" s="34"/>
      <x:c r="F40" s="34"/>
      <x:c r="G40" s="34"/>
      <x:c r="H40" s="34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C41" s="2"/>
      <x:c r="D41" s="34"/>
      <x:c r="E41" s="34"/>
      <x:c r="F41" s="34"/>
      <x:c r="G41" s="34"/>
      <x:c r="H41" s="34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C42" s="2"/>
      <x:c r="D42" s="34"/>
      <x:c r="E42" s="34"/>
      <x:c r="F42" s="34"/>
      <x:c r="G42" s="34"/>
      <x:c r="H42" s="34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C43" s="2"/>
      <x:c r="D43" s="34"/>
      <x:c r="E43" s="34"/>
      <x:c r="F43" s="34"/>
      <x:c r="G43" s="34"/>
      <x:c r="H43" s="34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C44" s="2"/>
      <x:c r="D44" s="34"/>
      <x:c r="E44" s="34"/>
      <x:c r="F44" s="34"/>
      <x:c r="G44" s="34"/>
      <x:c r="H44" s="34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C45" s="2"/>
      <x:c r="D45" s="34"/>
      <x:c r="E45" s="34"/>
      <x:c r="F45" s="34"/>
      <x:c r="G45" s="34"/>
      <x:c r="H45" s="34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C46" s="2"/>
      <x:c r="D46" s="34"/>
      <x:c r="E46" s="34"/>
      <x:c r="F46" s="34"/>
      <x:c r="G46" s="34"/>
      <x:c r="H46" s="34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C47" s="2"/>
      <x:c r="D47" s="34"/>
      <x:c r="E47" s="34"/>
      <x:c r="F47" s="34"/>
      <x:c r="G47" s="34"/>
      <x:c r="H47" s="34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C48" s="2"/>
      <x:c r="D48" s="34"/>
      <x:c r="E48" s="34"/>
      <x:c r="F48" s="34"/>
      <x:c r="G48" s="34"/>
      <x:c r="H48" s="34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C49" s="2"/>
      <x:c r="D49" s="34"/>
      <x:c r="E49" s="34"/>
      <x:c r="F49" s="34"/>
      <x:c r="G49" s="34"/>
      <x:c r="H49" s="34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C50" s="2"/>
      <x:c r="D50" s="34"/>
      <x:c r="E50" s="34"/>
      <x:c r="F50" s="34"/>
      <x:c r="G50" s="34"/>
      <x:c r="H50" s="34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99D70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4" hidden="0" customWidth="1"/>
    <x:col min="4" max="4" width="18" hidden="0" customWidth="1"/>
    <x:col min="5" max="5" width="18" hidden="0" customWidth="1"/>
    <x:col min="6" max="6" width="88" hidden="0" customWidth="1"/>
    <x:col min="7" max="7" width="17" hidden="0" customWidth="1"/>
    <x:col min="8" max="8" width="17" hidden="0" customWidth="1"/>
  </x:cols>
  <x:sheetData>
    <x:row r="2" ht="27" customHeight="1">
      <x:c r="C2" s="99" t="str">
        <x:v>HubSpot source actuals</x:v>
      </x:c>
      <x:c r="D2" s="86"/>
      <x:c r="E2" s="86"/>
      <x:c r="F2" s="86"/>
      <x:c r="G2" s="86"/>
      <x:c r="H2" s="86"/>
      <x:c r="I2" s="87"/>
      <x:c r="J2" s="87"/>
      <x:c r="K2" s="87"/>
      <x:c r="L2" s="87"/>
      <x:c r="M2" s="87"/>
      <x:c r="N2" s="87"/>
      <x:c r="O2" s="87"/>
      <x:c r="P2" s="87"/>
      <x:c r="Q2" s="87"/>
    </x:row>
    <x:row r="3">
      <x:c r="C3" s="100" t="str">
        <x:v>GAAP figures in USD millions; customer counts are period-end.</x:v>
      </x:c>
      <x:c r="D3" s="100"/>
      <x:c r="E3" s="100"/>
      <x:c r="F3" s="100"/>
      <x:c r="G3" s="88"/>
      <x:c r="H3" s="88"/>
      <x:c r="I3" s="87"/>
      <x:c r="J3" s="87"/>
      <x:c r="K3" s="87"/>
      <x:c r="L3" s="87"/>
      <x:c r="M3" s="87"/>
      <x:c r="N3" s="87"/>
      <x:c r="O3" s="87"/>
      <x:c r="P3" s="87"/>
      <x:c r="Q3" s="87"/>
    </x:row>
    <x:row r="4">
      <x:c r="C4" s="87"/>
      <x:c r="D4" s="87"/>
      <x:c r="E4" s="87"/>
      <x:c r="F4" s="87"/>
      <x:c r="G4" s="87"/>
      <x:c r="H4" s="87"/>
      <x:c r="I4" s="87"/>
      <x:c r="J4" s="87"/>
      <x:c r="K4" s="87"/>
      <x:c r="L4" s="87"/>
      <x:c r="M4" s="87"/>
      <x:c r="N4" s="87"/>
      <x:c r="O4" s="87"/>
      <x:c r="P4" s="87"/>
      <x:c r="Q4" s="87"/>
    </x:row>
    <x:row r="5" ht="22" customHeight="1">
      <x:c r="C5" s="87"/>
      <x:c r="D5" s="90"/>
      <x:c r="E5" s="90"/>
      <x:c r="F5" s="90"/>
      <x:c r="G5" s="90"/>
      <x:c r="H5" s="90"/>
      <x:c r="I5" s="87"/>
      <x:c r="J5" s="87"/>
      <x:c r="K5" s="87"/>
      <x:c r="L5" s="87"/>
      <x:c r="M5" s="87"/>
      <x:c r="N5" s="87"/>
      <x:c r="O5" s="87"/>
      <x:c r="P5" s="87"/>
      <x:c r="Q5" s="87"/>
    </x:row>
    <x:row r="6" ht="22" customHeight="1">
      <x:c r="C6" s="109" t="str">
        <x:v>Metric</x:v>
      </x:c>
      <x:c r="D6" s="108" t="str">
        <x:v>Q2:26 actual</x:v>
      </x:c>
      <x:c r="E6" s="108" t="str">
        <x:v>H1:26 actual</x:v>
      </x:c>
      <x:c r="F6" s="90"/>
      <x:c r="G6" s="90"/>
      <x:c r="H6" s="90"/>
      <x:c r="I6" s="87"/>
      <x:c r="J6" s="87"/>
      <x:c r="K6" s="87"/>
      <x:c r="L6" s="87"/>
      <x:c r="M6" s="87"/>
      <x:c r="N6" s="87"/>
      <x:c r="O6" s="87"/>
      <x:c r="P6" s="87"/>
      <x:c r="Q6" s="87"/>
    </x:row>
    <x:row r="7" ht="22" customHeight="1">
      <x:c r="C7" s="87" t="str">
        <x:v>Subscription revenue</x:v>
      </x:c>
      <x:c r="D7" s="219" t="n">
        <x:v>894.025</x:v>
      </x:c>
      <x:c r="E7" s="219" t="n">
        <x:v>1756.289</x:v>
      </x:c>
      <x:c r="F7" s="90"/>
      <x:c r="G7" s="90"/>
      <x:c r="H7" s="90"/>
      <x:c r="I7" s="87"/>
      <x:c r="J7" s="87"/>
      <x:c r="K7" s="87"/>
      <x:c r="L7" s="87"/>
      <x:c r="M7" s="87"/>
      <x:c r="N7" s="87"/>
      <x:c r="O7" s="87"/>
      <x:c r="P7" s="87"/>
      <x:c r="Q7" s="87"/>
    </x:row>
    <x:row r="8" ht="22" customHeight="1">
      <x:c r="C8" s="87" t="str">
        <x:v>Services and other revenue</x:v>
      </x:c>
      <x:c r="D8" s="220" t="n">
        <x:v>17.715</x:v>
      </x:c>
      <x:c r="E8" s="220" t="n">
        <x:v>36.446</x:v>
      </x:c>
      <x:c r="F8" s="90"/>
      <x:c r="G8" s="90"/>
      <x:c r="H8" s="90"/>
      <x:c r="I8" s="87"/>
      <x:c r="J8" s="87"/>
      <x:c r="K8" s="87"/>
      <x:c r="L8" s="87"/>
      <x:c r="M8" s="87"/>
      <x:c r="N8" s="87"/>
      <x:c r="O8" s="87"/>
      <x:c r="P8" s="87"/>
      <x:c r="Q8" s="87"/>
    </x:row>
    <x:row r="9" ht="22" customHeight="1">
      <x:c r="C9" s="87" t="str">
        <x:v>Subscription cost of revenue</x:v>
      </x:c>
      <x:c r="D9" s="220" t="n">
        <x:v>145.957</x:v>
      </x:c>
      <x:c r="E9" s="220" t="n">
        <x:v>274.681</x:v>
      </x:c>
      <x:c r="F9" s="90"/>
      <x:c r="G9" s="90"/>
      <x:c r="H9" s="90"/>
      <x:c r="I9" s="87"/>
      <x:c r="J9" s="87"/>
      <x:c r="K9" s="87"/>
      <x:c r="L9" s="87"/>
      <x:c r="M9" s="87"/>
      <x:c r="N9" s="87"/>
      <x:c r="O9" s="87"/>
      <x:c r="P9" s="87"/>
      <x:c r="Q9" s="87"/>
    </x:row>
    <x:row r="10" ht="22" customHeight="1">
      <x:c r="C10" s="87" t="str">
        <x:v>Services cost of revenue</x:v>
      </x:c>
      <x:c r="D10" s="220" t="n">
        <x:v>14.922</x:v>
      </x:c>
      <x:c r="E10" s="220" t="n">
        <x:v>31.891</x:v>
      </x:c>
      <x:c r="F10" s="90"/>
      <x:c r="G10" s="90"/>
      <x:c r="H10" s="90"/>
      <x:c r="I10" s="87"/>
      <x:c r="J10" s="87"/>
      <x:c r="K10" s="87"/>
      <x:c r="L10" s="87"/>
      <x:c r="M10" s="87"/>
      <x:c r="N10" s="87"/>
      <x:c r="O10" s="87"/>
      <x:c r="P10" s="87"/>
      <x:c r="Q10" s="87"/>
    </x:row>
    <x:row r="11" ht="22" customHeight="1">
      <x:c r="C11" s="87" t="str">
        <x:v>Research and development</x:v>
      </x:c>
      <x:c r="D11" s="220" t="n">
        <x:v>225.823</x:v>
      </x:c>
      <x:c r="E11" s="220" t="n">
        <x:v>460.017</x:v>
      </x:c>
      <x:c r="F11" s="90"/>
      <x:c r="G11" s="90"/>
      <x:c r="H11" s="90"/>
      <x:c r="I11" s="87"/>
      <x:c r="J11" s="87"/>
      <x:c r="K11" s="87"/>
      <x:c r="L11" s="87"/>
      <x:c r="M11" s="87"/>
      <x:c r="N11" s="87"/>
      <x:c r="O11" s="87"/>
      <x:c r="P11" s="87"/>
      <x:c r="Q11" s="87"/>
    </x:row>
    <x:row r="12" ht="22" customHeight="1">
      <x:c r="C12" s="87" t="str">
        <x:v>Sales and marketing</x:v>
      </x:c>
      <x:c r="D12" s="220" t="n">
        <x:v>397.707</x:v>
      </x:c>
      <x:c r="E12" s="220" t="n">
        <x:v>784.138</x:v>
      </x:c>
      <x:c r="F12" s="90"/>
      <x:c r="G12" s="90"/>
      <x:c r="H12" s="90"/>
      <x:c r="I12" s="87"/>
      <x:c r="J12" s="87"/>
      <x:c r="K12" s="87"/>
      <x:c r="L12" s="87"/>
      <x:c r="M12" s="87"/>
      <x:c r="N12" s="87"/>
      <x:c r="O12" s="87"/>
      <x:c r="P12" s="87"/>
      <x:c r="Q12" s="87"/>
    </x:row>
    <x:row r="13" ht="22" customHeight="1">
      <x:c r="C13" s="87" t="str">
        <x:v>General and administrative</x:v>
      </x:c>
      <x:c r="D13" s="220" t="n">
        <x:v>82.936</x:v>
      </x:c>
      <x:c r="E13" s="220" t="n">
        <x:v>168.576</x:v>
      </x:c>
      <x:c r="F13" s="90"/>
      <x:c r="G13" s="90"/>
      <x:c r="H13" s="90"/>
      <x:c r="I13" s="87"/>
      <x:c r="J13" s="87"/>
      <x:c r="K13" s="87"/>
      <x:c r="L13" s="87"/>
      <x:c r="M13" s="87"/>
      <x:c r="N13" s="87"/>
      <x:c r="O13" s="87"/>
      <x:c r="P13" s="87"/>
      <x:c r="Q13" s="87"/>
    </x:row>
    <x:row r="14" ht="22" customHeight="1">
      <x:c r="C14" s="87" t="str">
        <x:v>Restructuring</x:v>
      </x:c>
      <x:c r="D14" s="220" t="n">
        <x:v>1.076</x:v>
      </x:c>
      <x:c r="E14" s="220" t="n">
        <x:v>2.169</x:v>
      </x:c>
      <x:c r="F14" s="90"/>
      <x:c r="G14" s="90"/>
      <x:c r="H14" s="90"/>
      <x:c r="I14" s="87"/>
      <x:c r="J14" s="87"/>
      <x:c r="K14" s="87"/>
      <x:c r="L14" s="87"/>
      <x:c r="M14" s="87"/>
      <x:c r="N14" s="87"/>
      <x:c r="O14" s="87"/>
      <x:c r="P14" s="87"/>
      <x:c r="Q14" s="87"/>
    </x:row>
    <x:row r="15" ht="22" customHeight="1">
      <x:c r="C15" s="87"/>
      <x:c r="D15" s="221"/>
      <x:c r="E15" s="221"/>
      <x:c r="F15" s="90"/>
      <x:c r="G15" s="90"/>
      <x:c r="H15" s="90"/>
      <x:c r="I15" s="87"/>
      <x:c r="J15" s="87"/>
      <x:c r="K15" s="87"/>
      <x:c r="L15" s="87"/>
      <x:c r="M15" s="87"/>
      <x:c r="N15" s="87"/>
      <x:c r="O15" s="87"/>
      <x:c r="P15" s="87"/>
      <x:c r="Q15" s="87"/>
    </x:row>
    <x:row r="16" ht="22" customHeight="1">
      <x:c r="C16" s="87" t="str">
        <x:v>Q4:25 ending customers</x:v>
      </x:c>
      <x:c r="D16" s="224" t="n">
        <x:v>288706</x:v>
      </x:c>
      <x:c r="E16" s="221"/>
      <x:c r="F16" s="90"/>
      <x:c r="G16" s="90"/>
      <x:c r="H16" s="90"/>
      <x:c r="I16" s="87"/>
      <x:c r="J16" s="87"/>
      <x:c r="K16" s="87"/>
      <x:c r="L16" s="87"/>
      <x:c r="M16" s="87"/>
      <x:c r="N16" s="87"/>
      <x:c r="O16" s="87"/>
      <x:c r="P16" s="87"/>
      <x:c r="Q16" s="87"/>
    </x:row>
    <x:row r="17" ht="22" customHeight="1">
      <x:c r="C17" s="87" t="str">
        <x:v>Q1:26 ending customers</x:v>
      </x:c>
      <x:c r="D17" s="224" t="n">
        <x:v>299458</x:v>
      </x:c>
      <x:c r="E17" s="221"/>
      <x:c r="F17" s="90"/>
      <x:c r="G17" s="90"/>
      <x:c r="H17" s="90"/>
      <x:c r="I17" s="87"/>
      <x:c r="J17" s="87"/>
      <x:c r="K17" s="87"/>
      <x:c r="L17" s="87"/>
      <x:c r="M17" s="87"/>
      <x:c r="N17" s="87"/>
      <x:c r="O17" s="87"/>
      <x:c r="P17" s="87"/>
      <x:c r="Q17" s="87"/>
    </x:row>
    <x:row r="18" ht="22" customHeight="1">
      <x:c r="C18" s="87" t="str">
        <x:v>Q2:26 ending customers</x:v>
      </x:c>
      <x:c r="D18" s="224" t="n">
        <x:v>306446</x:v>
      </x:c>
      <x:c r="E18" s="221"/>
      <x:c r="F18" s="90"/>
      <x:c r="G18" s="90"/>
      <x:c r="H18" s="90"/>
      <x:c r="I18" s="87"/>
      <x:c r="J18" s="87"/>
      <x:c r="K18" s="87"/>
      <x:c r="L18" s="87"/>
      <x:c r="M18" s="87"/>
      <x:c r="N18" s="87"/>
      <x:c r="O18" s="87"/>
      <x:c r="P18" s="87"/>
      <x:c r="Q18" s="87"/>
    </x:row>
    <x:row r="19" ht="22" customHeight="1">
      <x:c r="C19" s="87" t="str">
        <x:v>Q2:26 guidance revenue midpoint</x:v>
      </x:c>
      <x:c r="D19" s="219" t="n">
        <x:v>897.5</x:v>
      </x:c>
      <x:c r="E19" s="221"/>
      <x:c r="F19" s="90"/>
      <x:c r="G19" s="90"/>
      <x:c r="H19" s="90"/>
      <x:c r="I19" s="87"/>
      <x:c r="J19" s="87"/>
      <x:c r="K19" s="87"/>
      <x:c r="L19" s="87"/>
      <x:c r="M19" s="87"/>
      <x:c r="N19" s="87"/>
      <x:c r="O19" s="87"/>
      <x:c r="P19" s="87"/>
      <x:c r="Q19" s="87"/>
    </x:row>
    <x:row r="20" ht="22" customHeight="1">
      <x:c r="C20" s="87"/>
      <x:c r="D20" s="90"/>
      <x:c r="E20" s="90"/>
      <x:c r="F20" s="90"/>
      <x:c r="G20" s="90"/>
      <x:c r="H20" s="90"/>
      <x:c r="I20" s="87"/>
      <x:c r="J20" s="87"/>
      <x:c r="K20" s="87"/>
      <x:c r="L20" s="87"/>
      <x:c r="M20" s="87"/>
      <x:c r="N20" s="87"/>
      <x:c r="O20" s="87"/>
      <x:c r="P20" s="87"/>
      <x:c r="Q20" s="87"/>
    </x:row>
    <x:row r="21" ht="22" customHeight="1">
      <x:c r="C21" s="230" t="str">
        <x:v>Source and reconciliation notes</x:v>
      </x:c>
      <x:c r="D21" s="231"/>
      <x:c r="E21" s="231"/>
      <x:c r="F21" s="231"/>
      <x:c r="G21" s="231"/>
      <x:c r="H21" s="231"/>
      <x:c r="I21" s="230"/>
      <x:c r="J21" s="230"/>
      <x:c r="K21" s="230"/>
      <x:c r="L21" s="230"/>
      <x:c r="M21" s="230"/>
      <x:c r="N21" s="230"/>
      <x:c r="O21" s="230"/>
      <x:c r="P21" s="230"/>
      <x:c r="Q21" s="230"/>
    </x:row>
    <x:row r="22" ht="22" customHeight="1">
      <x:c r="C22" s="143" t="str">
        <x:v>Q1:26 GAAP actuals are H1:26 less Q2:26 in the operating model.</x:v>
      </x:c>
      <x:c r="D22" s="144"/>
      <x:c r="E22" s="144"/>
      <x:c r="F22" s="144"/>
      <x:c r="G22" s="144"/>
      <x:c r="H22" s="144"/>
      <x:c r="I22" s="143"/>
      <x:c r="J22" s="143"/>
      <x:c r="K22" s="143"/>
      <x:c r="L22" s="143"/>
      <x:c r="M22" s="143"/>
      <x:c r="N22" s="143"/>
      <x:c r="O22" s="143"/>
      <x:c r="P22" s="143"/>
      <x:c r="Q22" s="143"/>
    </x:row>
    <x:row r="23" ht="22" customHeight="1">
      <x:c r="C23" s="143" t="str">
        <x:v>Q2:26 10-Q, statement of operations and customer count</x:v>
      </x:c>
      <x:c r="D23" s="144"/>
      <x:c r="E23" s="144"/>
      <x:c r="F23" s="232" t="str">
        <x:v>https://www.sec.gov/Archives/edgar/data/1404655/000119312526335232/hubs-20260630.htm</x:v>
      </x:c>
      <x:c r="G23" s="144"/>
      <x:c r="H23" s="144"/>
      <x:c r="I23" s="143"/>
      <x:c r="J23" s="143"/>
      <x:c r="K23" s="143"/>
      <x:c r="L23" s="143"/>
      <x:c r="M23" s="143"/>
      <x:c r="N23" s="143"/>
      <x:c r="O23" s="143"/>
      <x:c r="P23" s="143"/>
      <x:c r="Q23" s="143"/>
    </x:row>
    <x:row r="24" ht="22" customHeight="1">
      <x:c r="C24" s="143" t="str">
        <x:v>Q1:26 release, ending customers and Q2 revenue guidance</x:v>
      </x:c>
      <x:c r="D24" s="144"/>
      <x:c r="E24" s="144"/>
      <x:c r="F24" s="232" t="str">
        <x:v>https://www.sec.gov/Archives/edgar/data/1404655/000119312526211923/hubs-ex99_1.htm</x:v>
      </x:c>
      <x:c r="G24" s="144"/>
      <x:c r="H24" s="144"/>
      <x:c r="I24" s="143"/>
      <x:c r="J24" s="143"/>
      <x:c r="K24" s="143"/>
      <x:c r="L24" s="143"/>
      <x:c r="M24" s="143"/>
      <x:c r="N24" s="143"/>
      <x:c r="O24" s="143"/>
      <x:c r="P24" s="143"/>
      <x:c r="Q24" s="143"/>
    </x:row>
    <x:row r="25" ht="22" customHeight="1">
      <x:c r="C25" s="143" t="str">
        <x:v>Q4:25 release, ending customers</x:v>
      </x:c>
      <x:c r="D25" s="144"/>
      <x:c r="E25" s="144"/>
      <x:c r="F25" s="232" t="str">
        <x:v>https://www.sec.gov/Archives/edgar/data/1404655/000119312526046563/hubs-ex99_1.htm</x:v>
      </x:c>
      <x:c r="G25" s="144"/>
      <x:c r="H25" s="144"/>
      <x:c r="I25" s="143"/>
      <x:c r="J25" s="143"/>
      <x:c r="K25" s="143"/>
      <x:c r="L25" s="143"/>
      <x:c r="M25" s="143"/>
      <x:c r="N25" s="143"/>
      <x:c r="O25" s="143"/>
      <x:c r="P25" s="143"/>
      <x:c r="Q25" s="143"/>
    </x:row>
    <x:row r="26" ht="22" customHeight="1">
      <x:c r="C26" s="143"/>
      <x:c r="D26" s="144"/>
      <x:c r="E26" s="144"/>
      <x:c r="F26" s="144"/>
      <x:c r="G26" s="144"/>
      <x:c r="H26" s="144"/>
      <x:c r="I26" s="143"/>
      <x:c r="J26" s="143"/>
      <x:c r="K26" s="143"/>
      <x:c r="L26" s="143"/>
      <x:c r="M26" s="143"/>
      <x:c r="N26" s="143"/>
      <x:c r="O26" s="143"/>
      <x:c r="P26" s="143"/>
      <x:c r="Q26" s="143"/>
    </x:row>
    <x:row r="27" ht="22" customHeight="1">
      <x:c r="C27" s="143" t="str">
        <x:v>Source cutoff: June 30, 2026. No later actuals are included.</x:v>
      </x:c>
      <x:c r="D27" s="144"/>
      <x:c r="E27" s="144"/>
      <x:c r="F27" s="144"/>
      <x:c r="G27" s="144"/>
      <x:c r="H27" s="144"/>
      <x:c r="I27" s="143"/>
      <x:c r="J27" s="143"/>
      <x:c r="K27" s="143"/>
      <x:c r="L27" s="143"/>
      <x:c r="M27" s="143"/>
      <x:c r="N27" s="143"/>
      <x:c r="O27" s="143"/>
      <x:c r="P27" s="143"/>
      <x:c r="Q27" s="143"/>
    </x:row>
    <x:row r="28" ht="22" customHeight="1">
      <x:c r="C28" s="2"/>
      <x:c r="D28" s="34"/>
      <x:c r="E28" s="34"/>
      <x:c r="F28" s="34"/>
      <x:c r="G28" s="34"/>
      <x:c r="H28" s="34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C29" s="2"/>
      <x:c r="D29" s="34"/>
      <x:c r="E29" s="34"/>
      <x:c r="F29" s="34"/>
      <x:c r="G29" s="34"/>
      <x:c r="H29" s="34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C30" s="2"/>
      <x:c r="D30" s="34"/>
      <x:c r="E30" s="34"/>
      <x:c r="F30" s="34"/>
      <x:c r="G30" s="34"/>
      <x:c r="H30" s="34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C31" s="2"/>
      <x:c r="D31" s="34"/>
      <x:c r="E31" s="34"/>
      <x:c r="F31" s="34"/>
      <x:c r="G31" s="34"/>
      <x:c r="H31" s="34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C32" s="2"/>
      <x:c r="D32" s="34"/>
      <x:c r="E32" s="34"/>
      <x:c r="F32" s="34"/>
      <x:c r="G32" s="34"/>
      <x:c r="H32" s="34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C33" s="2"/>
      <x:c r="D33" s="34"/>
      <x:c r="E33" s="34"/>
      <x:c r="F33" s="34"/>
      <x:c r="G33" s="34"/>
      <x:c r="H33" s="34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C34" s="2"/>
      <x:c r="D34" s="34"/>
      <x:c r="E34" s="34"/>
      <x:c r="F34" s="34"/>
      <x:c r="G34" s="34"/>
      <x:c r="H34" s="34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C35" s="2"/>
      <x:c r="D35" s="34"/>
      <x:c r="E35" s="34"/>
      <x:c r="F35" s="34"/>
      <x:c r="G35" s="34"/>
      <x:c r="H35" s="34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C36" s="2"/>
      <x:c r="D36" s="34"/>
      <x:c r="E36" s="34"/>
      <x:c r="F36" s="34"/>
      <x:c r="G36" s="34"/>
      <x:c r="H36" s="34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C37" s="2"/>
      <x:c r="D37" s="34"/>
      <x:c r="E37" s="34"/>
      <x:c r="F37" s="34"/>
      <x:c r="G37" s="34"/>
      <x:c r="H37" s="34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C38" s="2"/>
      <x:c r="D38" s="34"/>
      <x:c r="E38" s="34"/>
      <x:c r="F38" s="34"/>
      <x:c r="G38" s="34"/>
      <x:c r="H38" s="34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C39" s="2"/>
      <x:c r="D39" s="34"/>
      <x:c r="E39" s="34"/>
      <x:c r="F39" s="34"/>
      <x:c r="G39" s="34"/>
      <x:c r="H39" s="34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C40" s="2"/>
      <x:c r="D40" s="34"/>
      <x:c r="E40" s="34"/>
      <x:c r="F40" s="34"/>
      <x:c r="G40" s="34"/>
      <x:c r="H40" s="34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C41" s="2"/>
      <x:c r="D41" s="34"/>
      <x:c r="E41" s="34"/>
      <x:c r="F41" s="34"/>
      <x:c r="G41" s="34"/>
      <x:c r="H41" s="34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C42" s="2"/>
      <x:c r="D42" s="34"/>
      <x:c r="E42" s="34"/>
      <x:c r="F42" s="34"/>
      <x:c r="G42" s="34"/>
      <x:c r="H42" s="34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C43" s="2"/>
      <x:c r="D43" s="34"/>
      <x:c r="E43" s="34"/>
      <x:c r="F43" s="34"/>
      <x:c r="G43" s="34"/>
      <x:c r="H43" s="34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C44" s="2"/>
      <x:c r="D44" s="34"/>
      <x:c r="E44" s="34"/>
      <x:c r="F44" s="34"/>
      <x:c r="G44" s="34"/>
      <x:c r="H44" s="34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C45" s="2"/>
      <x:c r="D45" s="34"/>
      <x:c r="E45" s="34"/>
      <x:c r="F45" s="34"/>
      <x:c r="G45" s="34"/>
      <x:c r="H45" s="34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C46" s="2"/>
      <x:c r="D46" s="34"/>
      <x:c r="E46" s="34"/>
      <x:c r="F46" s="34"/>
      <x:c r="G46" s="34"/>
      <x:c r="H46" s="34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C47" s="2"/>
      <x:c r="D47" s="34"/>
      <x:c r="E47" s="34"/>
      <x:c r="F47" s="34"/>
      <x:c r="G47" s="34"/>
      <x:c r="H47" s="34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C48" s="2"/>
      <x:c r="D48" s="34"/>
      <x:c r="E48" s="34"/>
      <x:c r="F48" s="34"/>
      <x:c r="G48" s="34"/>
      <x:c r="H48" s="34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C49" s="2"/>
      <x:c r="D49" s="34"/>
      <x:c r="E49" s="34"/>
      <x:c r="F49" s="34"/>
      <x:c r="G49" s="34"/>
      <x:c r="H49" s="34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C50" s="2"/>
      <x:c r="D50" s="34"/>
      <x:c r="E50" s="34"/>
      <x:c r="F50" s="34"/>
      <x:c r="G50" s="34"/>
      <x:c r="H50" s="34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</x:sheetData>
  <x:pageMargins left="0.7" right="0.7" top="0.75" bottom="0.75" header="0.3" footer="0.3"/>
</x:worksheet>
</file>