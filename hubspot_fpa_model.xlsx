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c7e0f6f8d47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438e4f6d0de4b35"/>
    <x:sheet xmlns:r="http://schemas.openxmlformats.org/officeDocument/2006/relationships" name="Assumptions" sheetId="2" r:id="R84cde15bde7a44b2"/>
    <x:sheet xmlns:r="http://schemas.openxmlformats.org/officeDocument/2006/relationships" name="Operating model" sheetId="3" r:id="Re3e6ab52b93b44c3"/>
    <x:sheet xmlns:r="http://schemas.openxmlformats.org/officeDocument/2006/relationships" name="Source actuals" sheetId="4" r:id="R3ecd1ee2c47742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&quot;$&quot;#,##0.000;(&quot;$&quot;#,##0.000);&quot;-&quot;"/>
    <x:numFmt numFmtId="201" formatCode="#,##0;(#,##0);&quot;-&quot;"/>
    <x:numFmt numFmtId="202" formatCode="&quot;$&quot;#,##0.00;(&quot;$&quot;#,##0.00);&quot;-&quot;"/>
    <x:numFmt numFmtId="203" formatCode="0.0%;(0.0%);&quot;-&quot;"/>
    <x:numFmt numFmtId="204" formatCode="&quot;$&quot;#,##0.0;(&quot;$&quot;#,##0.0);&quot;-&quot;"/>
  </x:numFmts>
  <x:fonts count="10">
    <x:font>
      <x:sz val="11"/>
      <x:name val="Carlito"/>
    </x:font>
    <x:font>
      <x:sz val="10"/>
      <x:color rgb="FF1C2933"/>
      <x:name val="Arial"/>
    </x:font>
    <x:font>
      <x:b/>
      <x:sz val="10"/>
      <x:color rgb="FF1C2933"/>
      <x:name val="Arial"/>
    </x:font>
    <x:font>
      <x:sz val="10"/>
      <x:color rgb="FF1F5AA6"/>
      <x:name val="Arial"/>
    </x:font>
    <x:font>
      <x:b/>
      <x:sz val="10"/>
      <x:color rgb="FF1F5AA6"/>
      <x:name val="Arial"/>
    </x:font>
    <x:font>
      <x:b/>
      <x:sz val="10"/>
      <x:color rgb="FF147D52"/>
      <x:name val="Arial"/>
    </x:font>
    <x:font>
      <x:b/>
      <x:sz val="15"/>
      <x:color rgb="FF16324F"/>
      <x:name val="Arial"/>
    </x:font>
    <x:font>
      <x:i/>
      <x:sz val="10"/>
      <x:color rgb="FF566A78"/>
      <x:name val="Arial"/>
    </x:font>
    <x:font>
      <x:b/>
      <x:sz val="10"/>
      <x:color rgb="FFFFFFFF"/>
      <x:name val="Arial"/>
    </x:font>
    <x:font>
      <x:i/>
      <x:sz val="10"/>
      <x:color rgb="FF1C293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5"/>
      </x:patternFill>
    </x:fill>
    <x:fill>
      <x:patternFill patternType="solid">
        <x:fgColor rgb="FF16324F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2" fillId="2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202" fontId="2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2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8" fillId="3" borderId="0" xfId="0" applyNumberFormat="1" applyFont="1" applyFill="1" applyBorder="1" applyAlignment="1">
      <x:alignment horizontal="right" vertical="center"/>
    </x:xf>
    <x:xf numFmtId="202" fontId="2" fillId="4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1" fontId="2" fillId="4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2" fillId="4" borderId="0" xfId="0" applyNumberFormat="1" applyFont="1" applyFill="1" applyBorder="1" applyAlignment="1">
      <x:alignment horizontal="right" vertical="center"/>
    </x:xf>
    <x:xf numFmtId="0" fontId="2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2" fontId="2" fillId="2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horizontal="right" vertical="center"/>
    </x:xf>
    <x:xf numFmtId="204" fontId="9" fillId="0" borderId="0" xfId="0" applyNumberFormat="1" applyFont="1" applyFill="1" applyBorder="1" applyAlignment="1">
      <x:alignment horizontal="right" vertical="center"/>
    </x:xf>
    <x:xf numFmtId="203" fontId="9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3d8cbb1606445a" /><Relationship Type="http://schemas.openxmlformats.org/officeDocument/2006/relationships/theme" Target="/xl/theme/theme1.xml" Id="R2d37e30c96584b15" /><Relationship Type="http://schemas.openxmlformats.org/officeDocument/2006/relationships/sharedStrings" Target="/xl/sharedStrings.xml" Id="Rd49b26caf94e4b4a" /><Relationship Type="http://schemas.openxmlformats.org/officeDocument/2006/relationships/worksheet" Target="/xl/worksheets/sheet1.xml" Id="R4438e4f6d0de4b35" /><Relationship Type="http://schemas.openxmlformats.org/officeDocument/2006/relationships/worksheet" Target="/xl/worksheets/sheet2.xml" Id="R84cde15bde7a44b2" /><Relationship Type="http://schemas.openxmlformats.org/officeDocument/2006/relationships/worksheet" Target="/xl/worksheets/sheet3.xml" Id="Re3e6ab52b93b44c3" /><Relationship Type="http://schemas.openxmlformats.org/officeDocument/2006/relationships/worksheet" Target="/xl/worksheets/sheet4.xml" Id="R3ecd1ee2c47742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99cb54f6f64812" /><Relationship Type="http://schemas.openxmlformats.org/officeDocument/2006/relationships/chart" Target="/xl/drawings/charts/chart2.xml" Id="Rc4b5c44e6a2242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Quarterly revenue ($m)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 ($m)</c:v>
          </c:tx>
          <c:spPr>
            <a:ln xmlns:a="http://schemas.openxmlformats.org/drawingml/2006/main" w="19050">
              <a:solidFill>
                <a:srgbClr val="244D73"/>
              </a:solidFill>
              <a:prstDash val="solid"/>
            </a:ln>
          </c:spPr>
          <c:marker>
            <c:symbol val="none"/>
          </c:marker>
          <c:cat>
            <c:strRef>
              <c:f>'Dashboard'!$S$6:$S$9</c:f>
              <c:strCache>
                <c:ptCount val="0"/>
              </c:strCache>
            </c:strRef>
          </c:cat>
          <c:val>
            <c:numRef>
              <c:f>'Dashboard'!$T$6:$T$9</c:f>
              <c:numCache>
                <c:formatCode>"$"#,##0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$&quot;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GAAP operating margin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Operating margin</c:v>
          </c:tx>
          <c:spPr>
            <a:ln xmlns:a="http://schemas.openxmlformats.org/drawingml/2006/main" w="19050">
              <a:solidFill>
                <a:srgbClr val="0D7C86"/>
              </a:solidFill>
              <a:prstDash val="solid"/>
            </a:ln>
          </c:spPr>
          <c:marker>
            <c:symbol val="none"/>
          </c:marker>
          <c:cat>
            <c:strRef>
              <c:f>'Dashboard'!$S$6:$S$9</c:f>
              <c:strCache>
                <c:ptCount val="0"/>
              </c:strCache>
            </c:strRef>
          </c:cat>
          <c:val>
            <c:numRef>
              <c:f>'Dashboard'!$U$6:$U$9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6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99cb54f6f64812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b5c44e6a22428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7a5ee3906d742ec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8" hidden="0" customWidth="1"/>
  </x:cols>
  <x:sheetData>
    <x:row r="2" ht="27" customHeight="1">
      <x:c r="C2" s="21" t="str">
        <x:v>HubSpot FP&amp;A case study</x:v>
      </x:c>
      <x:c r="D2" s="21"/>
      <x:c r="E2" s="21"/>
      <x:c r="F2" s="21"/>
      <x:c r="G2" s="21"/>
      <x:c r="H2" s="21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2" t="str">
        <x:v>Public actuals through Q2:26; illustrative Q2 plan and H2 scenarios.</x:v>
      </x:c>
      <x:c r="D3" s="22"/>
      <x:c r="E3" s="22"/>
      <x:c r="F3" s="22"/>
      <x:c r="G3" s="22"/>
      <x:c r="H3" s="2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" t="str">
        <x:v>Selected case</x:v>
      </x:c>
      <x:c r="D5" s="33" t="str">
        <x:f>'Assumptions'!F5</x:f>
        <x:v>Base</x:v>
      </x:c>
      <x:c r="E5" s="34"/>
      <x:c r="F5" s="34"/>
      <x:c r="G5" s="34"/>
      <x:c r="H5" s="34"/>
      <x:c r="I5" s="2"/>
      <x:c r="J5" s="2"/>
      <x:c r="K5" s="2"/>
      <x:c r="L5" s="2"/>
      <x:c r="M5" s="2"/>
      <x:c r="N5" s="2"/>
      <x:c r="O5" s="2"/>
      <x:c r="P5" s="2"/>
      <x:c r="Q5" s="2"/>
      <x:c r="S5" t="str">
        <x:v>Quarter</x:v>
      </x:c>
      <x:c r="T5" t="str">
        <x:v>Revenue ($m)</x:v>
      </x:c>
      <x:c r="U5" t="str">
        <x:v>Operating margin</x:v>
      </x:c>
    </x:row>
    <x:row r="6" ht="22" customHeight="1">
      <x:c r="C6" s="2"/>
      <x:c r="D6" s="34"/>
      <x:c r="E6" s="34"/>
      <x:c r="F6" s="34"/>
      <x:c r="G6" s="34"/>
      <x:c r="H6" s="34"/>
      <x:c r="I6" s="2"/>
      <x:c r="J6" s="2"/>
      <x:c r="K6" s="2"/>
      <x:c r="L6" s="2"/>
      <x:c r="M6" s="2"/>
      <x:c r="N6" s="2"/>
      <x:c r="O6" s="2"/>
      <x:c r="P6" s="2"/>
      <x:c r="Q6" s="2"/>
      <x:c r="S6" t="str">
        <x:f>D$8</x:f>
        <x:v>Q1:26 actual</x:v>
      </x:c>
      <x:c r="T6" t="n">
        <x:f>D9</x:f>
        <x:v>880.995</x:v>
      </x:c>
      <x:c r="U6" t="n">
        <x:f>D12</x:f>
        <x:v>0.03171868171783049</x:v>
      </x:c>
    </x:row>
    <x:row r="7" ht="22" customHeight="1">
      <x:c r="C7" s="2"/>
      <x:c r="D7" s="34"/>
      <x:c r="E7" s="34"/>
      <x:c r="F7" s="34"/>
      <x:c r="G7" s="34"/>
      <x:c r="H7" s="34"/>
      <x:c r="I7" s="2"/>
      <x:c r="J7" s="2"/>
      <x:c r="K7" s="2"/>
      <x:c r="L7" s="2"/>
      <x:c r="M7" s="2"/>
      <x:c r="N7" s="2"/>
      <x:c r="O7" s="2"/>
      <x:c r="P7" s="2"/>
      <x:c r="Q7" s="2"/>
      <x:c r="S7" t="str">
        <x:f>F$8</x:f>
        <x:v>Q2:26 actual</x:v>
      </x:c>
      <x:c r="T7" t="n">
        <x:f>F9</x:f>
        <x:v>911.74</x:v>
      </x:c>
      <x:c r="U7" t="n">
        <x:f>F12</x:f>
        <x:v>0.047512448724417004</x:v>
      </x:c>
    </x:row>
    <x:row r="8" ht="22" customHeight="1">
      <x:c r="C8" s="24" t="str">
        <x:v>Metric</x:v>
      </x:c>
      <x:c r="D8" s="35" t="str">
        <x:v>Q1:26 actual</x:v>
      </x:c>
      <x:c r="E8" s="35" t="str">
        <x:v>Q2:26 plan</x:v>
      </x:c>
      <x:c r="F8" s="35" t="str">
        <x:v>Q2:26 actual</x:v>
      </x:c>
      <x:c r="G8" s="35" t="str">
        <x:v>Q3:26 forecast</x:v>
      </x:c>
      <x:c r="H8" s="35" t="str">
        <x:v>Q4:26 forecast</x:v>
      </x:c>
      <x:c r="I8" s="2"/>
      <x:c r="J8" s="2"/>
      <x:c r="K8" s="2"/>
      <x:c r="L8" s="2"/>
      <x:c r="M8" s="2"/>
      <x:c r="N8" s="2"/>
      <x:c r="O8" s="2"/>
      <x:c r="P8" s="2"/>
      <x:c r="Q8" s="2"/>
      <x:c r="S8" t="str">
        <x:f>G$8</x:f>
        <x:v>Q3:26 forecast</x:v>
      </x:c>
      <x:c r="T8" t="n">
        <x:f>G9</x:f>
        <x:v>938.7208322630316</x:v>
      </x:c>
      <x:c r="U8" t="n">
        <x:f>G12</x:f>
        <x:v>0.046846697395677664</x:v>
      </x:c>
    </x:row>
    <x:row r="9" ht="22" customHeight="1">
      <x:c r="C9" s="27" t="str">
        <x:v>Revenue ($m)</x:v>
      </x:c>
      <x:c r="D9" s="36" t="n">
        <x:f>'Operating model'!D14</x:f>
        <x:v>880.995</x:v>
      </x:c>
      <x:c r="E9" s="36" t="n">
        <x:f>'Operating model'!E14</x:f>
        <x:v>897.5</x:v>
      </x:c>
      <x:c r="F9" s="36" t="n">
        <x:f>'Operating model'!F14</x:f>
        <x:v>911.74</x:v>
      </x:c>
      <x:c r="G9" s="36" t="n">
        <x:f>'Operating model'!G14</x:f>
        <x:v>938.7208322630316</x:v>
      </x:c>
      <x:c r="H9" s="36" t="n">
        <x:f>'Operating model'!H14</x:f>
        <x:v>969.9049425951881</x:v>
      </x:c>
      <x:c r="I9" s="2"/>
      <x:c r="J9" s="2"/>
      <x:c r="K9" s="2"/>
      <x:c r="L9" s="2"/>
      <x:c r="M9" s="2"/>
      <x:c r="N9" s="2"/>
      <x:c r="O9" s="2"/>
      <x:c r="P9" s="2"/>
      <x:c r="Q9" s="2"/>
      <x:c r="S9" t="str">
        <x:f>H$8</x:f>
        <x:v>Q4:26 forecast</x:v>
      </x:c>
      <x:c r="T9" t="n">
        <x:f>H9</x:f>
        <x:v>969.9049425951881</x:v>
      </x:c>
      <x:c r="U9" t="n">
        <x:f>H12</x:f>
        <x:v>0.05099089518644597</x:v>
      </x:c>
    </x:row>
    <x:row r="10" ht="22" customHeight="1">
      <x:c r="C10" s="50" t="str">
        <x:v>Gross margin</x:v>
      </x:c>
      <x:c r="D10" s="53" t="n">
        <x:f>'Operating model'!D21</x:f>
        <x:v>0.8346267572460684</x:v>
      </x:c>
      <x:c r="E10" s="53" t="n">
        <x:f>'Operating model'!E21</x:f>
        <x:v>0.8349487348102607</x:v>
      </x:c>
      <x:c r="F10" s="53" t="n">
        <x:f>'Operating model'!F21</x:f>
        <x:v>0.8235472832167064</x:v>
      </x:c>
      <x:c r="G10" s="53" t="n">
        <x:f>'Operating model'!G21</x:f>
        <x:v>0.8240185047767371</x:v>
      </x:c>
      <x:c r="H10" s="53" t="n">
        <x:f>'Operating model'!H21</x:f>
        <x:v>0.8221250269468809</x:v>
      </x:c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2" customHeight="1">
      <x:c r="C11" s="27" t="str">
        <x:v>Operating income ($m)</x:v>
      </x:c>
      <x:c r="D11" s="36" t="n">
        <x:f>'Operating model'!D30</x:f>
        <x:v>27.944000000000074</x:v>
      </x:c>
      <x:c r="E11" s="36" t="n">
        <x:f>'Operating model'!E30</x:f>
        <x:v>28.77696851308872</x:v>
      </x:c>
      <x:c r="F11" s="36" t="n">
        <x:f>'Operating model'!F30</x:f>
        <x:v>43.31899999999996</x:v>
      </x:c>
      <x:c r="G11" s="36" t="n">
        <x:f>'Operating model'!G30</x:f>
        <x:v>43.97597076804493</x:v>
      </x:c>
      <x:c r="H11" s="36" t="n">
        <x:f>'Operating model'!H30</x:f>
        <x:v>49.456321268687134</x:v>
      </x:c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50" t="str">
        <x:v>Operating margin</x:v>
      </x:c>
      <x:c r="D12" s="53" t="n">
        <x:f>'Operating model'!D31</x:f>
        <x:v>0.03171868171783049</x:v>
      </x:c>
      <x:c r="E12" s="53" t="n">
        <x:f>'Operating model'!E31</x:f>
        <x:v>0.032063474666394115</x:v>
      </x:c>
      <x:c r="F12" s="53" t="n">
        <x:f>'Operating model'!F31</x:f>
        <x:v>0.047512448724417004</x:v>
      </x:c>
      <x:c r="G12" s="53" t="n">
        <x:f>'Operating model'!G31</x:f>
        <x:v>0.046846697395677664</x:v>
      </x:c>
      <x:c r="H12" s="53" t="n">
        <x:f>'Operating model'!H31</x:f>
        <x:v>0.05099089518644597</x:v>
      </x:c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7" t="str">
        <x:v>Ending customers</x:v>
      </x:c>
      <x:c r="D13" s="38" t="n">
        <x:f>'Operating model'!D9</x:f>
        <x:v>299458</x:v>
      </x:c>
      <x:c r="E13" s="38" t="n">
        <x:f>'Operating model'!E9</x:f>
        <x:v>306458</x:v>
      </x:c>
      <x:c r="F13" s="38" t="n">
        <x:f>'Operating model'!F9</x:f>
        <x:v>306446</x:v>
      </x:c>
      <x:c r="G13" s="38" t="n">
        <x:f>'Operating model'!G9</x:f>
        <x:v>314446</x:v>
      </x:c>
      <x:c r="H13" s="38" t="n">
        <x:f>'Operating model'!H9</x:f>
        <x:v>323946</x:v>
      </x:c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2"/>
      <x:c r="D14" s="34"/>
      <x:c r="E14" s="34"/>
      <x:c r="F14" s="34"/>
      <x:c r="G14" s="34"/>
      <x:c r="H14" s="34"/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"/>
      <x:c r="D15" s="34"/>
      <x:c r="E15" s="34"/>
      <x:c r="F15" s="34"/>
      <x:c r="G15" s="34"/>
      <x:c r="H15" s="34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2" t="str">
        <x:v>H2 revenue ($m)</x:v>
      </x:c>
      <x:c r="D16" s="39" t="n">
        <x:f>SUM(G9:H9)</x:f>
        <x:v>1908.6257748582198</x:v>
      </x:c>
      <x:c r="E16" s="34"/>
      <x:c r="F16" s="34"/>
      <x:c r="G16" s="34"/>
      <x:c r="H16" s="34"/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2" t="str">
        <x:v>H2 operating income ($m)</x:v>
      </x:c>
      <x:c r="D17" s="39" t="n">
        <x:f>SUM(G11:H11)</x:f>
        <x:v>93.43229203673206</x:v>
      </x:c>
      <x:c r="E17" s="34"/>
      <x:c r="F17" s="34"/>
      <x:c r="G17" s="34"/>
      <x:c r="H17" s="34"/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2" t="str">
        <x:v>Q2 revenue vs plan ($m)</x:v>
      </x:c>
      <x:c r="D18" s="39" t="n">
        <x:f>F9-E9</x:f>
        <x:v>14.240000000000009</x:v>
      </x:c>
      <x:c r="E18" s="34"/>
      <x:c r="F18" s="34"/>
      <x:c r="G18" s="34"/>
      <x:c r="H18" s="34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" t="str">
        <x:v>Q2 operating income vs plan ($m)</x:v>
      </x:c>
      <x:c r="D19" s="39" t="n">
        <x:f>F11-E11</x:f>
        <x:v>14.542031486911242</x:v>
      </x:c>
      <x:c r="E19" s="34"/>
      <x:c r="F19" s="34"/>
      <x:c r="G19" s="34"/>
      <x:c r="H19" s="34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2"/>
      <x:c r="D20" s="34"/>
      <x:c r="E20" s="34"/>
      <x:c r="F20" s="34"/>
      <x:c r="G20" s="34"/>
      <x:c r="H20" s="34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2"/>
      <x:c r="D21" s="34"/>
      <x:c r="E21" s="34"/>
      <x:c r="F21" s="34"/>
      <x:c r="G21" s="34"/>
      <x:c r="H21" s="34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2"/>
      <x:c r="D22" s="34"/>
      <x:c r="E22" s="34"/>
      <x:c r="F22" s="34"/>
      <x:c r="G22" s="34"/>
      <x:c r="H22" s="34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24" t="str">
        <x:v>Q2:26 variance ($m)</x:v>
      </x:c>
      <x:c r="D23" s="35" t="str">
        <x:v>Illustrative plan</x:v>
      </x:c>
      <x:c r="E23" s="35" t="str">
        <x:v>Reported actual</x:v>
      </x:c>
      <x:c r="F23" s="35" t="str">
        <x:v>Actual - plan</x:v>
      </x:c>
      <x:c r="G23" s="35" t="str">
        <x:v>Variance %</x:v>
      </x:c>
      <x:c r="H23" s="35" t="str">
        <x:v>Assessment</x:v>
      </x:c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2" t="str">
        <x:v>Total revenue</x:v>
      </x:c>
      <x:c r="D24" s="39" t="n">
        <x:f>'Operating model'!E14</x:f>
        <x:v>897.5</x:v>
      </x:c>
      <x:c r="E24" s="39" t="n">
        <x:f>'Operating model'!F14</x:f>
        <x:v>911.74</x:v>
      </x:c>
      <x:c r="F24" s="39" t="n">
        <x:f>E24-D24</x:f>
        <x:v>14.240000000000009</x:v>
      </x:c>
      <x:c r="G24" s="37" t="n">
        <x:f>F24/D24</x:f>
        <x:v>0.015866295264623964</x:v>
      </x:c>
      <x:c r="H24" s="47" t="str">
        <x:f>IF(F24=0,"On plan",IF(F24&gt;0,"Favorable","Unfavorable"))</x:f>
        <x:v>Favorable</x:v>
      </x:c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2" t="str">
        <x:v>Subscription revenue</x:v>
      </x:c>
      <x:c r="D25" s="39" t="n">
        <x:f>'Operating model'!E12</x:f>
        <x:v>878.8</x:v>
      </x:c>
      <x:c r="E25" s="39" t="n">
        <x:f>'Operating model'!F12</x:f>
        <x:v>894.025</x:v>
      </x:c>
      <x:c r="F25" s="39" t="n">
        <x:f>E25-D25</x:f>
        <x:v>15.225000000000023</x:v>
      </x:c>
      <x:c r="G25" s="37" t="n">
        <x:f>F25/D25</x:f>
        <x:v>0.017324761037778816</x:v>
      </x:c>
      <x:c r="H25" s="47" t="str">
        <x:f>IF(F25=0,"On plan",IF(F25&gt;0,"Favorable","Unfavorable"))</x:f>
        <x:v>Favorable</x:v>
      </x:c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2" t="str">
        <x:v>Services and other revenue</x:v>
      </x:c>
      <x:c r="D26" s="39" t="n">
        <x:f>'Operating model'!E13</x:f>
        <x:v>18.7</x:v>
      </x:c>
      <x:c r="E26" s="39" t="n">
        <x:f>'Operating model'!F13</x:f>
        <x:v>17.715</x:v>
      </x:c>
      <x:c r="F26" s="39" t="n">
        <x:f>E26-D26</x:f>
        <x:v>-0.9849999999999994</x:v>
      </x:c>
      <x:c r="G26" s="37" t="n">
        <x:f>F26/D26</x:f>
        <x:v>-0.05267379679144382</x:v>
      </x:c>
      <x:c r="H26" s="47" t="str">
        <x:f>IF(F26=0,"On plan",IF(F26&gt;0,"Favorable","Unfavorable"))</x:f>
        <x:v>Unfavorable</x:v>
      </x:c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" t="str">
        <x:v>Subscription cost</x:v>
      </x:c>
      <x:c r="D27" s="39" t="n">
        <x:f>'Operating model'!E18</x:f>
        <x:v>131.19259437944757</x:v>
      </x:c>
      <x:c r="E27" s="39" t="n">
        <x:f>'Operating model'!F18</x:f>
        <x:v>145.957</x:v>
      </x:c>
      <x:c r="F27" s="39" t="n">
        <x:f>E27-D27</x:f>
        <x:v>14.764405620552424</x:v>
      </x:c>
      <x:c r="G27" s="37" t="n">
        <x:f>F27/D27</x:f>
        <x:v>0.11253993177274489</x:v>
      </x:c>
      <x:c r="H27" s="47" t="str">
        <x:f>IF(F27=0,"On plan",IF(F27&lt;0,"Favorable","Unfavorable"))</x:f>
        <x:v>Unfavorable</x:v>
      </x:c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" t="str">
        <x:v>Services cost</x:v>
      </x:c>
      <x:c r="D28" s="39" t="n">
        <x:f>'Operating model'!E19</x:f>
        <x:v>16.94091612834339</x:v>
      </x:c>
      <x:c r="E28" s="39" t="n">
        <x:f>'Operating model'!F19</x:f>
        <x:v>14.922</x:v>
      </x:c>
      <x:c r="F28" s="39" t="n">
        <x:f>E28-D28</x:f>
        <x:v>-2.0189161283433883</x:v>
      </x:c>
      <x:c r="G28" s="37" t="n">
        <x:f>F28/D28</x:f>
        <x:v>-0.11917396397267999</x:v>
      </x:c>
      <x:c r="H28" s="47" t="str">
        <x:f>IF(F28=0,"On plan",IF(F28&lt;0,"Favorable","Unfavorable"))</x:f>
        <x:v>Favorable</x:v>
      </x:c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" t="str">
        <x:v>Research and development</x:v>
      </x:c>
      <x:c r="D29" s="39" t="n">
        <x:f>'Operating model'!E26</x:f>
        <x:v>238.5815072730265</x:v>
      </x:c>
      <x:c r="E29" s="39" t="n">
        <x:f>'Operating model'!F26</x:f>
        <x:v>225.823</x:v>
      </x:c>
      <x:c r="F29" s="39" t="n">
        <x:f>E29-D29</x:f>
        <x:v>-12.758507273026481</x:v>
      </x:c>
      <x:c r="G29" s="37" t="n">
        <x:f>F29/D29</x:f>
        <x:v>-0.05347651382898665</x:v>
      </x:c>
      <x:c r="H29" s="47" t="str">
        <x:f>IF(F29=0,"On plan",IF(F29&lt;0,"Favorable","Unfavorable"))</x:f>
        <x:v>Favorable</x:v>
      </x:c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2" t="str">
        <x:v>Sales and marketing</x:v>
      </x:c>
      <x:c r="D30" s="39" t="n">
        <x:f>'Operating model'!E27</x:f>
        <x:v>393.6705912065336</x:v>
      </x:c>
      <x:c r="E30" s="39" t="n">
        <x:f>'Operating model'!F27</x:f>
        <x:v>397.707</x:v>
      </x:c>
      <x:c r="F30" s="39" t="n">
        <x:f>E30-D30</x:f>
        <x:v>4.036408793466421</x:v>
      </x:c>
      <x:c r="G30" s="37" t="n">
        <x:f>F30/D30</x:f>
        <x:v>0.010253264743743018</x:v>
      </x:c>
      <x:c r="H30" s="47" t="str">
        <x:f>IF(F30=0,"On plan",IF(F30&lt;0,"Favorable","Unfavorable"))</x:f>
        <x:v>Unfavorable</x:v>
      </x:c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" t="str">
        <x:v>General and administrative</x:v>
      </x:c>
      <x:c r="D31" s="39" t="n">
        <x:f>'Operating model'!E28</x:f>
        <x:v>87.24442249956013</x:v>
      </x:c>
      <x:c r="E31" s="39" t="n">
        <x:f>'Operating model'!F28</x:f>
        <x:v>82.936</x:v>
      </x:c>
      <x:c r="F31" s="39" t="n">
        <x:f>E31-D31</x:f>
        <x:v>-4.308422499560123</x:v>
      </x:c>
      <x:c r="G31" s="37" t="n">
        <x:f>F31/D31</x:f>
        <x:v>-0.04938335742415907</x:v>
      </x:c>
      <x:c r="H31" s="47" t="str">
        <x:f>IF(F31=0,"On plan",IF(F31&lt;0,"Favorable","Unfavorable"))</x:f>
        <x:v>Favorable</x:v>
      </x:c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" t="str">
        <x:v>Restructuring</x:v>
      </x:c>
      <x:c r="D32" s="39" t="n">
        <x:f>'Operating model'!E29</x:f>
        <x:v>1.093</x:v>
      </x:c>
      <x:c r="E32" s="39" t="n">
        <x:f>'Operating model'!F29</x:f>
        <x:v>1.076</x:v>
      </x:c>
      <x:c r="F32" s="39" t="n">
        <x:f>E32-D32</x:f>
        <x:v>-0.016999999999999904</x:v>
      </x:c>
      <x:c r="G32" s="37" t="n">
        <x:f>F32/D32</x:f>
        <x:v>-0.015553522415370452</x:v>
      </x:c>
      <x:c r="H32" s="47" t="str">
        <x:f>IF(F32=0,"On plan",IF(F32&lt;0,"Favorable","Unfavorable"))</x:f>
        <x:v>Favorable</x:v>
      </x:c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7" t="str">
        <x:v>Operating income</x:v>
      </x:c>
      <x:c r="D33" s="36" t="n">
        <x:f>'Operating model'!E30</x:f>
        <x:v>28.77696851308872</x:v>
      </x:c>
      <x:c r="E33" s="36" t="n">
        <x:f>'Operating model'!F30</x:f>
        <x:v>43.31899999999996</x:v>
      </x:c>
      <x:c r="F33" s="36" t="n">
        <x:f>E33-D33</x:f>
        <x:v>14.542031486911242</x:v>
      </x:c>
      <x:c r="G33" s="40" t="n">
        <x:f>F33/D33</x:f>
        <x:v>0.5053357680916614</x:v>
      </x:c>
      <x:c r="H33" s="48" t="str">
        <x:f>IF(F33=0,"On plan",IF(F33&gt;0,"Favorable","Unfavorable"))</x:f>
        <x:v>Favorable</x:v>
      </x:c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"/>
      <x:c r="D34" s="34"/>
      <x:c r="E34" s="34"/>
      <x:c r="F34" s="34"/>
      <x:c r="G34" s="34"/>
      <x:c r="H34" s="34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"/>
      <x:c r="D35" s="34"/>
      <x:c r="E35" s="34"/>
      <x:c r="F35" s="34"/>
      <x:c r="G35" s="34"/>
      <x:c r="H35" s="34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4" t="str">
        <x:v>Q2 revenue bridge ($m)</x:v>
      </x:c>
      <x:c r="D36" s="35" t="str">
        <x:v>Impact</x:v>
      </x:c>
      <x:c r="E36" s="34"/>
      <x:c r="F36" s="34"/>
      <x:c r="G36" s="34"/>
      <x:c r="H36" s="34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 t="str">
        <x:v>Illustrative plan revenue</x:v>
      </x:c>
      <x:c r="D37" s="39" t="n">
        <x:f>'Operating model'!E14</x:f>
        <x:v>897.5</x:v>
      </x:c>
      <x:c r="E37" s="34"/>
      <x:c r="F37" s="34"/>
      <x:c r="G37" s="34"/>
      <x:c r="H37" s="34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" t="str">
        <x:v>Average customer count effect</x:v>
      </x:c>
      <x:c r="D38" s="39" t="n">
        <x:f>('Operating model'!F10-'Operating model'!E10)*'Operating model'!E11/1000000</x:f>
        <x:v>-0.01740439268809538</x:v>
      </x:c>
      <x:c r="E38" s="34"/>
      <x:c r="F38" s="34"/>
      <x:c r="G38" s="34"/>
      <x:c r="H38" s="34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 t="str">
        <x:v>Effective yield effect</x:v>
      </x:c>
      <x:c r="D39" s="39" t="n">
        <x:f>'Operating model'!F10*('Operating model'!F11-'Operating model'!E11)/1000000</x:f>
        <x:v>15.242404392688064</x:v>
      </x:c>
      <x:c r="E39" s="34"/>
      <x:c r="F39" s="34"/>
      <x:c r="G39" s="34"/>
      <x:c r="H39" s="34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 t="str">
        <x:v>Services revenue effect</x:v>
      </x:c>
      <x:c r="D40" s="39" t="n">
        <x:f>'Operating model'!F13-'Operating model'!E13</x:f>
        <x:v>-0.9849999999999994</x:v>
      </x:c>
      <x:c r="E40" s="34"/>
      <x:c r="F40" s="34"/>
      <x:c r="G40" s="34"/>
      <x:c r="H40" s="34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7" t="str">
        <x:v>Bridge implied actual</x:v>
      </x:c>
      <x:c r="D41" s="36" t="n">
        <x:f>SUM(D37:D40)</x:f>
        <x:v>911.7399999999999</x:v>
      </x:c>
      <x:c r="E41" s="34"/>
      <x:c r="F41" s="34"/>
      <x:c r="G41" s="34"/>
      <x:c r="H41" s="34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" t="str">
        <x:v>Reported actual</x:v>
      </x:c>
      <x:c r="D42" s="39" t="n">
        <x:f>'Operating model'!F14</x:f>
        <x:v>911.74</x:v>
      </x:c>
      <x:c r="E42" s="34"/>
      <x:c r="F42" s="34"/>
      <x:c r="G42" s="34"/>
      <x:c r="H42" s="34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7" t="str">
        <x:v>Bridge difference</x:v>
      </x:c>
      <x:c r="D43" s="36" t="n">
        <x:f>ROUND(D41-D42,6)</x:f>
        <x:v>0</x:v>
      </x:c>
      <x:c r="E43" s="34"/>
      <x:c r="F43" s="34"/>
      <x:c r="G43" s="34"/>
      <x:c r="H43" s="34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/>
      <x:c r="D44" s="34"/>
      <x:c r="E44" s="34"/>
      <x:c r="F44" s="34"/>
      <x:c r="G44" s="34"/>
      <x:c r="H44" s="34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 t="str">
        <x:v>Revenue target is published guidance midpoint. All Q2 driver allocations and cost plan are illustrative.</x:v>
      </x:c>
      <x:c r="D45" s="34"/>
      <x:c r="E45" s="34"/>
      <x:c r="F45" s="34"/>
      <x:c r="G45" s="34"/>
      <x:c r="H45" s="34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" t="str">
        <x:v>The selected case changes H2 forecasts; reported Q1 and Q2 actuals remain fixed.</x:v>
      </x:c>
      <x:c r="D46" s="34"/>
      <x:c r="E46" s="34"/>
      <x:c r="F46" s="34"/>
      <x:c r="G46" s="34"/>
      <x:c r="H46" s="34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pageMargins left="0.7" right="0.7" top="0.75" bottom="0.75" header="0.3" footer="0.3"/>
  <x:drawing xmlns:r="http://schemas.openxmlformats.org/officeDocument/2006/relationships" r:id="Ra7a5ee3906d742ec"/>
</x:worksheet>
</file>

<file path=xl/worksheets/sheet2.xml><?xml version="1.0" encoding="utf-8"?>
<x:worksheet xmlns:x="http://schemas.openxmlformats.org/spreadsheetml/2006/main">
  <x:sheetPr>
    <x:tabColor rgb="FF244D73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7" hidden="0" customWidth="1"/>
    <x:col min="4" max="4" width="30" hidden="0" customWidth="1"/>
    <x:col min="5" max="5" width="30" hidden="0" customWidth="1"/>
    <x:col min="6" max="6" width="30" hidden="0" customWidth="1"/>
    <x:col min="7" max="7" width="17" hidden="0" customWidth="1"/>
    <x:col min="8" max="8" width="17" hidden="0" customWidth="1"/>
  </x:cols>
  <x:sheetData>
    <x:row r="2" ht="27" customHeight="1">
      <x:c r="C2" s="21" t="str">
        <x:v>Forecast assumptions</x:v>
      </x:c>
      <x:c r="D2" s="21"/>
      <x:c r="E2" s="21"/>
      <x:c r="F2" s="21"/>
      <x:c r="G2" s="21"/>
      <x:c r="H2" s="21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2" t="str">
        <x:v>Change the case selector or blue forecast inputs. Q2 plan is an illustrative analyst bridge.</x:v>
      </x:c>
      <x:c r="D3" s="22"/>
      <x:c r="E3" s="22"/>
      <x:c r="F3" s="22"/>
      <x:c r="G3" s="22"/>
      <x:c r="H3" s="2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" t="str">
        <x:v>Selected case</x:v>
      </x:c>
      <x:c r="D5" s="18" t="n">
        <x:v>1</x:v>
      </x:c>
      <x:c r="E5" s="2"/>
      <x:c r="F5" s="19" t="str">
        <x:f>IF(D5=1,"Base","Downside")</x:f>
        <x:v>Base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C6" s="2" t="str">
        <x:v>1 = Base; 2 = Downside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C8" s="2" t="str">
        <x:v>Q2 plan net customer additions</x:v>
      </x:c>
      <x:c r="D8" s="4" t="n">
        <x:v>7000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C9" s="2" t="str">
        <x:v>Q2 revenue guidance midpoint ($m)</x:v>
      </x:c>
      <x:c r="D9" s="5" t="n">
        <x:f>'Source actuals'!D19</x:f>
        <x:v>897.5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C10" s="2" t="str">
        <x:v>Q2 plan services revenue ($m)</x:v>
      </x:c>
      <x:c r="D10" s="5" t="n">
        <x:v>18.7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34" customHeight="1">
      <x:c r="C11" s="2" t="str">
        <x:v>Plan methodology</x:v>
      </x:c>
      <x:c r="D11" s="49" t="str">
        <x:v>Revenue target is published guidance midpoint; customer adds and services split are hypothetical.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4" t="str">
        <x:v>Forecast driver</x:v>
      </x:c>
      <x:c r="D13" s="24" t="str">
        <x:v>Q3:26</x:v>
      </x:c>
      <x:c r="E13" s="24" t="str">
        <x:v>Q4:26</x:v>
      </x:c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8" t="str">
        <x:v>Net customer additions - active</x:v>
      </x:c>
      <x:c r="D14" s="9" t="n">
        <x:f>IF($D$5=1,D15,D16)</x:f>
        <x:v>8000</x:v>
      </x:c>
      <x:c r="E14" s="9" t="n">
        <x:f>IF($D$5=1,E15,E16)</x:f>
        <x:v>9500</x:v>
      </x:c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" t="str">
        <x:v>Base</x:v>
      </x:c>
      <x:c r="D15" s="10" t="n">
        <x:v>8000</x:v>
      </x:c>
      <x:c r="E15" s="10" t="n">
        <x:v>9500</x:v>
      </x:c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2" t="str">
        <x:v>Downside</x:v>
      </x:c>
      <x:c r="D16" s="10" t="n">
        <x:v>4000</x:v>
      </x:c>
      <x:c r="E16" s="10" t="n">
        <x:v>4500</x:v>
      </x:c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8" t="str">
        <x:v>Yield change, q/q - active</x:v>
      </x:c>
      <x:c r="D18" s="13" t="n">
        <x:f>IF($D$5=1,D19,D20)</x:f>
        <x:v>0.005</x:v>
      </x:c>
      <x:c r="E18" s="13" t="n">
        <x:f>IF($D$5=1,E19,E20)</x:f>
        <x:v>0.005</x:v>
      </x:c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" t="str">
        <x:v>Base</x:v>
      </x:c>
      <x:c r="D19" s="14" t="n">
        <x:v>0.005</x:v>
      </x:c>
      <x:c r="E19" s="14" t="n">
        <x:v>0.005</x:v>
      </x:c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2" t="str">
        <x:v>Downside</x:v>
      </x:c>
      <x:c r="D20" s="14" t="n">
        <x:v>-0.01</x:v>
      </x:c>
      <x:c r="E20" s="14" t="n">
        <x:v>-0.005</x:v>
      </x:c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8" t="str">
        <x:v>Services revenue ($m) - active</x:v>
      </x:c>
      <x:c r="D22" s="16" t="n">
        <x:f>IF($D$5=1,D23,D24)</x:f>
        <x:v>18</x:v>
      </x:c>
      <x:c r="E22" s="16" t="n">
        <x:f>IF($D$5=1,E23,E24)</x:f>
        <x:v>18.5</x:v>
      </x:c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2" t="str">
        <x:v>Base</x:v>
      </x:c>
      <x:c r="D23" s="17" t="n">
        <x:v>18</x:v>
      </x:c>
      <x:c r="E23" s="17" t="n">
        <x:v>18.5</x:v>
      </x:c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2" t="str">
        <x:v>Downside</x:v>
      </x:c>
      <x:c r="D24" s="17" t="n">
        <x:v>17</x:v>
      </x:c>
      <x:c r="E24" s="17" t="n">
        <x:v>17</x:v>
      </x:c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8" t="str">
        <x:v>Subscription cost rate - active</x:v>
      </x:c>
      <x:c r="D26" s="13" t="n">
        <x:f>IF($D$5=1,D27,D28)</x:f>
        <x:v>0.163</x:v>
      </x:c>
      <x:c r="E26" s="13" t="n">
        <x:f>IF($D$5=1,E27,E28)</x:f>
        <x:v>0.165</x:v>
      </x:c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" t="str">
        <x:v>Base</x:v>
      </x:c>
      <x:c r="D27" s="14" t="n">
        <x:v>0.163</x:v>
      </x:c>
      <x:c r="E27" s="14" t="n">
        <x:v>0.165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" t="str">
        <x:v>Downside</x:v>
      </x:c>
      <x:c r="D28" s="14" t="n">
        <x:v>0.17</x:v>
      </x:c>
      <x:c r="E28" s="14" t="n">
        <x:v>0.172</x:v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8" t="str">
        <x:v>Services cost rate - active</x:v>
      </x:c>
      <x:c r="D30" s="13" t="n">
        <x:f>IF($D$5=1,D31,D32)</x:f>
        <x:v>0.84</x:v>
      </x:c>
      <x:c r="E30" s="13" t="n">
        <x:f>IF($D$5=1,E31,E32)</x:f>
        <x:v>0.84</x:v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" t="str">
        <x:v>Base</x:v>
      </x:c>
      <x:c r="D31" s="14" t="n">
        <x:v>0.84</x:v>
      </x:c>
      <x:c r="E31" s="14" t="n">
        <x:v>0.84</x:v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" t="str">
        <x:v>Downside</x:v>
      </x:c>
      <x:c r="D32" s="14" t="n">
        <x:v>0.86</x:v>
      </x:c>
      <x:c r="E32" s="14" t="n">
        <x:v>0.87</x:v>
      </x:c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8" t="str">
        <x:v>R&amp;D / total revenue - active</x:v>
      </x:c>
      <x:c r="D34" s="13" t="n">
        <x:f>IF($D$5=1,D35,D36)</x:f>
        <x:v>0.25</x:v>
      </x:c>
      <x:c r="E34" s="13" t="n">
        <x:f>IF($D$5=1,E35,E36)</x:f>
        <x:v>0.247</x:v>
      </x:c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" t="str">
        <x:v>Base</x:v>
      </x:c>
      <x:c r="D35" s="14" t="n">
        <x:v>0.25</x:v>
      </x:c>
      <x:c r="E35" s="14" t="n">
        <x:v>0.247</x:v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" t="str">
        <x:v>Downside</x:v>
      </x:c>
      <x:c r="D36" s="14" t="n">
        <x:v>0.258</x:v>
      </x:c>
      <x:c r="E36" s="14" t="n">
        <x:v>0.258</x:v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8" t="str">
        <x:v>S&amp;M / total revenue - active</x:v>
      </x:c>
      <x:c r="D38" s="13" t="n">
        <x:f>IF($D$5=1,D39,D40)</x:f>
        <x:v>0.435</x:v>
      </x:c>
      <x:c r="E38" s="13" t="n">
        <x:f>IF($D$5=1,E39,E40)</x:f>
        <x:v>0.433</x:v>
      </x:c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 t="str">
        <x:v>Base</x:v>
      </x:c>
      <x:c r="D39" s="14" t="n">
        <x:v>0.435</x:v>
      </x:c>
      <x:c r="E39" s="14" t="n">
        <x:v>0.433</x:v>
      </x:c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 t="str">
        <x:v>Downside</x:v>
      </x:c>
      <x:c r="D40" s="14" t="n">
        <x:v>0.445</x:v>
      </x:c>
      <x:c r="E40" s="14" t="n">
        <x:v>0.445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8" t="str">
        <x:v>G&amp;A / total revenue - active</x:v>
      </x:c>
      <x:c r="D42" s="13" t="n">
        <x:f>IF($D$5=1,D43,D44)</x:f>
        <x:v>0.091</x:v>
      </x:c>
      <x:c r="E42" s="13" t="n">
        <x:f>IF($D$5=1,E43,E44)</x:f>
        <x:v>0.09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" t="str">
        <x:v>Base</x:v>
      </x:c>
      <x:c r="D43" s="14" t="n">
        <x:v>0.091</x:v>
      </x:c>
      <x:c r="E43" s="14" t="n">
        <x:v>0.09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 t="str">
        <x:v>Downside</x:v>
      </x:c>
      <x:c r="D44" s="14" t="n">
        <x:v>0.093</x:v>
      </x:c>
      <x:c r="E44" s="14" t="n">
        <x:v>0.094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8" t="str">
        <x:v>Restructuring ($m) - active</x:v>
      </x:c>
      <x:c r="D46" s="16" t="n">
        <x:f>IF($D$5=1,D47,D48)</x:f>
        <x:v>1.1</x:v>
      </x:c>
      <x:c r="E46" s="16" t="n">
        <x:f>IF($D$5=1,E47,E48)</x:f>
        <x:v>1.1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 t="str">
        <x:v>Base</x:v>
      </x:c>
      <x:c r="D47" s="17" t="n">
        <x:v>1.1</x:v>
      </x:c>
      <x:c r="E47" s="17" t="n">
        <x:v>1.1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 t="str">
        <x:v>Downside</x:v>
      </x:c>
      <x:c r="D48" s="17" t="n">
        <x:v>1.1</x:v>
      </x:c>
      <x:c r="E48" s="17" t="n">
        <x:v>1.1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dataValidations count="1">
    <x:dataValidation type="list" sqref="D5">
      <x:formula1>"1,2"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2" ht="27" customHeight="1">
      <x:c r="C2" s="21" t="str">
        <x:v>HubSpot operating model</x:v>
      </x:c>
      <x:c r="D2" s="21"/>
      <x:c r="E2" s="21"/>
      <x:c r="F2" s="21"/>
      <x:c r="G2" s="21"/>
      <x:c r="H2" s="21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2" t="str">
        <x:v>GAAP operating forecast, USD millions unless labeled otherwise.</x:v>
      </x:c>
      <x:c r="D3" s="22"/>
      <x:c r="E3" s="22"/>
      <x:c r="F3" s="22"/>
      <x:c r="G3" s="22"/>
      <x:c r="H3" s="2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" t="str">
        <x:v>Selected case</x:v>
      </x:c>
      <x:c r="D4" s="19" t="str">
        <x:f>'Assumptions'!F5</x:f>
        <x:v>Base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4" t="str">
        <x:v>Metric</x:v>
      </x:c>
      <x:c r="D5" s="35" t="str">
        <x:v>Q1:26 actual</x:v>
      </x:c>
      <x:c r="E5" s="35" t="str">
        <x:v>Q2:26 plan</x:v>
      </x:c>
      <x:c r="F5" s="35" t="str">
        <x:v>Q2:26 actual</x:v>
      </x:c>
      <x:c r="G5" s="35" t="str">
        <x:v>Q3:26 forecast</x:v>
      </x:c>
      <x:c r="H5" s="35" t="str">
        <x:v>Q4:26 forecast</x:v>
      </x:c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C6" s="2"/>
      <x:c r="D6" s="34"/>
      <x:c r="E6" s="34"/>
      <x:c r="F6" s="34"/>
      <x:c r="G6" s="34"/>
      <x:c r="H6" s="34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C7" s="2" t="str">
        <x:v>Beginning customers</x:v>
      </x:c>
      <x:c r="D7" s="42" t="n">
        <x:f>'Source actuals'!D16</x:f>
        <x:v>288706</x:v>
      </x:c>
      <x:c r="E7" s="42" t="n">
        <x:f>D9</x:f>
        <x:v>299458</x:v>
      </x:c>
      <x:c r="F7" s="42" t="n">
        <x:f>D9</x:f>
        <x:v>299458</x:v>
      </x:c>
      <x:c r="G7" s="42" t="n">
        <x:f>F9</x:f>
        <x:v>306446</x:v>
      </x:c>
      <x:c r="H7" s="42" t="n">
        <x:f>G9</x:f>
        <x:v>314446</x:v>
      </x:c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C8" s="2" t="str">
        <x:v>Net customer additions</x:v>
      </x:c>
      <x:c r="D8" s="42" t="n">
        <x:f>D9-D7</x:f>
        <x:v>10752</x:v>
      </x:c>
      <x:c r="E8" s="42" t="n">
        <x:f>'Assumptions'!D8</x:f>
        <x:v>7000</x:v>
      </x:c>
      <x:c r="F8" s="42" t="n">
        <x:f>F9-F7</x:f>
        <x:v>6988</x:v>
      </x:c>
      <x:c r="G8" s="42" t="n">
        <x:f>'Assumptions'!D14</x:f>
        <x:v>8000</x:v>
      </x:c>
      <x:c r="H8" s="42" t="n">
        <x:f>'Assumptions'!E14</x:f>
        <x:v>9500</x:v>
      </x:c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C9" s="2" t="str">
        <x:v>Ending customers</x:v>
      </x:c>
      <x:c r="D9" s="42" t="n">
        <x:f>'Source actuals'!D17</x:f>
        <x:v>299458</x:v>
      </x:c>
      <x:c r="E9" s="42" t="n">
        <x:f>SUM(E7:E8)</x:f>
        <x:v>306458</x:v>
      </x:c>
      <x:c r="F9" s="42" t="n">
        <x:f>'Source actuals'!D18</x:f>
        <x:v>306446</x:v>
      </x:c>
      <x:c r="G9" s="42" t="n">
        <x:f>SUM(G7:G8)</x:f>
        <x:v>314446</x:v>
      </x:c>
      <x:c r="H9" s="42" t="n">
        <x:f>SUM(H7:H8)</x:f>
        <x:v>323946</x:v>
      </x:c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C10" s="50" t="str">
        <x:v>Average customers</x:v>
      </x:c>
      <x:c r="D10" s="51" t="n">
        <x:f>AVERAGE(D7,D9)</x:f>
        <x:v>294082</x:v>
      </x:c>
      <x:c r="E10" s="51" t="n">
        <x:f>AVERAGE(E7,E9)</x:f>
        <x:v>302958</x:v>
      </x:c>
      <x:c r="F10" s="51" t="n">
        <x:f>AVERAGE(F7,F9)</x:f>
        <x:v>302952</x:v>
      </x:c>
      <x:c r="G10" s="51" t="n">
        <x:f>AVERAGE(G7,G9)</x:f>
        <x:v>310446</x:v>
      </x:c>
      <x:c r="H10" s="51" t="n">
        <x:f>AVERAGE(H7,H9)</x:f>
        <x:v>319196</x:v>
      </x:c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2" customHeight="1">
      <x:c r="C11" s="50" t="str">
        <x:v>Effective quarterly yield per average customer ($)</x:v>
      </x:c>
      <x:c r="D11" s="52" t="n">
        <x:f>D12*1000000/D10</x:f>
        <x:v>2932.052964819336</x:v>
      </x:c>
      <x:c r="E11" s="52" t="n">
        <x:f>('Assumptions'!D9-E13)*1000000/E10</x:f>
        <x:v>2900.7321146825634</x:v>
      </x:c>
      <x:c r="F11" s="52" t="n">
        <x:f>F12*1000000/F10</x:f>
        <x:v>2951.0450500409306</x:v>
      </x:c>
      <x:c r="G11" s="52" t="n">
        <x:f>F11*(1+'Assumptions'!D18)</x:f>
        <x:v>2965.8002752911348</x:v>
      </x:c>
      <x:c r="H11" s="52" t="n">
        <x:f>G11*(1+'Assumptions'!E18)</x:f>
        <x:v>2980.62927666759</x:v>
      </x:c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2" t="str">
        <x:v>Subscription revenue</x:v>
      </x:c>
      <x:c r="D12" s="39" t="n">
        <x:f>'Source actuals'!E7-'Source actuals'!D7</x:f>
        <x:v>862.264</x:v>
      </x:c>
      <x:c r="E12" s="39" t="n">
        <x:f>E10*E11/1000000</x:f>
        <x:v>878.8</x:v>
      </x:c>
      <x:c r="F12" s="39" t="n">
        <x:f>'Source actuals'!D7</x:f>
        <x:v>894.025</x:v>
      </x:c>
      <x:c r="G12" s="39" t="n">
        <x:f>G10*G11/1000000</x:f>
        <x:v>920.7208322630316</x:v>
      </x:c>
      <x:c r="H12" s="39" t="n">
        <x:f>H10*H11/1000000</x:f>
        <x:v>951.4049425951881</x:v>
      </x:c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" t="str">
        <x:v>Services and other revenue</x:v>
      </x:c>
      <x:c r="D13" s="39" t="n">
        <x:f>'Source actuals'!E8-'Source actuals'!D8</x:f>
        <x:v>18.730999999999998</x:v>
      </x:c>
      <x:c r="E13" s="39" t="n">
        <x:f>'Assumptions'!D10</x:f>
        <x:v>18.7</x:v>
      </x:c>
      <x:c r="F13" s="39" t="n">
        <x:f>'Source actuals'!D8</x:f>
        <x:v>17.715</x:v>
      </x:c>
      <x:c r="G13" s="39" t="n">
        <x:f>'Assumptions'!D22</x:f>
        <x:v>18</x:v>
      </x:c>
      <x:c r="H13" s="39" t="n">
        <x:f>'Assumptions'!E22</x:f>
        <x:v>18.5</x:v>
      </x:c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8" t="str">
        <x:v>Total revenue</x:v>
      </x:c>
      <x:c r="D14" s="44" t="n">
        <x:f>SUM(D12:D13)</x:f>
        <x:v>880.995</x:v>
      </x:c>
      <x:c r="E14" s="44" t="n">
        <x:f>SUM(E12:E13)</x:f>
        <x:v>897.5</x:v>
      </x:c>
      <x:c r="F14" s="44" t="n">
        <x:f>SUM(F12:F13)</x:f>
        <x:v>911.74</x:v>
      </x:c>
      <x:c r="G14" s="44" t="n">
        <x:f>SUM(G12:G13)</x:f>
        <x:v>938.7208322630316</x:v>
      </x:c>
      <x:c r="H14" s="44" t="n">
        <x:f>SUM(H12:H13)</x:f>
        <x:v>969.9049425951881</x:v>
      </x:c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"/>
      <x:c r="D15" s="34"/>
      <x:c r="E15" s="34"/>
      <x:c r="F15" s="34"/>
      <x:c r="G15" s="34"/>
      <x:c r="H15" s="34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50" t="str">
        <x:v>Subscription cost rate</x:v>
      </x:c>
      <x:c r="D16" s="53" t="n">
        <x:f>D18/D12</x:f>
        <x:v>0.1492860655205366</x:v>
      </x:c>
      <x:c r="E16" s="53" t="n">
        <x:f>D16</x:f>
        <x:v>0.1492860655205366</x:v>
      </x:c>
      <x:c r="F16" s="53" t="n">
        <x:f>F18/F12</x:f>
        <x:v>0.163258298146025</x:v>
      </x:c>
      <x:c r="G16" s="53" t="n">
        <x:f>'Assumptions'!D26</x:f>
        <x:v>0.163</x:v>
      </x:c>
      <x:c r="H16" s="53" t="n">
        <x:f>'Assumptions'!E26</x:f>
        <x:v>0.165</x:v>
      </x:c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50" t="str">
        <x:v>Services cost rate</x:v>
      </x:c>
      <x:c r="D17" s="53" t="n">
        <x:f>D19/D13</x:f>
        <x:v>0.9059313437616785</x:v>
      </x:c>
      <x:c r="E17" s="53" t="n">
        <x:f>D17</x:f>
        <x:v>0.9059313437616785</x:v>
      </x:c>
      <x:c r="F17" s="53" t="n">
        <x:f>F19/F13</x:f>
        <x:v>0.8423370025402201</x:v>
      </x:c>
      <x:c r="G17" s="53" t="n">
        <x:f>'Assumptions'!D30</x:f>
        <x:v>0.84</x:v>
      </x:c>
      <x:c r="H17" s="53" t="n">
        <x:f>'Assumptions'!E30</x:f>
        <x:v>0.84</x:v>
      </x:c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2" t="str">
        <x:v>Subscription cost of revenue</x:v>
      </x:c>
      <x:c r="D18" s="39" t="n">
        <x:f>'Source actuals'!E9-'Source actuals'!D9</x:f>
        <x:v>128.724</x:v>
      </x:c>
      <x:c r="E18" s="39" t="n">
        <x:f>E12*E16</x:f>
        <x:v>131.19259437944757</x:v>
      </x:c>
      <x:c r="F18" s="39" t="n">
        <x:f>'Source actuals'!D9</x:f>
        <x:v>145.957</x:v>
      </x:c>
      <x:c r="G18" s="39" t="n">
        <x:f>G12*G16</x:f>
        <x:v>150.07749565887417</x:v>
      </x:c>
      <x:c r="H18" s="39" t="n">
        <x:f>H12*H16</x:f>
        <x:v>156.98181552820606</x:v>
      </x:c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" t="str">
        <x:v>Services cost of revenue</x:v>
      </x:c>
      <x:c r="D19" s="39" t="n">
        <x:f>'Source actuals'!E10-'Source actuals'!D10</x:f>
        <x:v>16.968999999999998</x:v>
      </x:c>
      <x:c r="E19" s="39" t="n">
        <x:f>E13*E17</x:f>
        <x:v>16.94091612834339</x:v>
      </x:c>
      <x:c r="F19" s="39" t="n">
        <x:f>'Source actuals'!D10</x:f>
        <x:v>14.922</x:v>
      </x:c>
      <x:c r="G19" s="39" t="n">
        <x:f>G13*G17</x:f>
        <x:v>15.12</x:v>
      </x:c>
      <x:c r="H19" s="39" t="n">
        <x:f>H13*H17</x:f>
        <x:v>15.54</x:v>
      </x:c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8" t="str">
        <x:v>Gross profit</x:v>
      </x:c>
      <x:c r="D20" s="44" t="n">
        <x:f>D14-SUM(D18:D19)</x:f>
        <x:v>735.302</x:v>
      </x:c>
      <x:c r="E20" s="44" t="n">
        <x:f>E14-SUM(E18:E19)</x:f>
        <x:v>749.366489492209</x:v>
      </x:c>
      <x:c r="F20" s="44" t="n">
        <x:f>F14-SUM(F18:F19)</x:f>
        <x:v>750.861</x:v>
      </x:c>
      <x:c r="G20" s="44" t="n">
        <x:f>G14-SUM(G18:G19)</x:f>
        <x:v>773.5233366041575</x:v>
      </x:c>
      <x:c r="H20" s="44" t="n">
        <x:f>H14-SUM(H18:H19)</x:f>
        <x:v>797.3831270669821</x:v>
      </x:c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50" t="str">
        <x:v>Gross margin</x:v>
      </x:c>
      <x:c r="D21" s="53" t="n">
        <x:f>D20/D14</x:f>
        <x:v>0.8346267572460684</x:v>
      </x:c>
      <x:c r="E21" s="53" t="n">
        <x:f>E20/E14</x:f>
        <x:v>0.8349487348102607</x:v>
      </x:c>
      <x:c r="F21" s="53" t="n">
        <x:f>F20/F14</x:f>
        <x:v>0.8235472832167064</x:v>
      </x:c>
      <x:c r="G21" s="53" t="n">
        <x:f>G20/G14</x:f>
        <x:v>0.8240185047767371</x:v>
      </x:c>
      <x:c r="H21" s="53" t="n">
        <x:f>H20/H14</x:f>
        <x:v>0.8221250269468809</x:v>
      </x:c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2"/>
      <x:c r="D22" s="34"/>
      <x:c r="E22" s="34"/>
      <x:c r="F22" s="34"/>
      <x:c r="G22" s="34"/>
      <x:c r="H22" s="34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50" t="str">
        <x:v>R&amp;D / revenue</x:v>
      </x:c>
      <x:c r="D23" s="53" t="n">
        <x:f>D26/D14</x:f>
        <x:v>0.2658289774629822</x:v>
      </x:c>
      <x:c r="E23" s="53" t="n">
        <x:f>D23</x:f>
        <x:v>0.2658289774629822</x:v>
      </x:c>
      <x:c r="F23" s="53" t="n">
        <x:f>F26/F14</x:f>
        <x:v>0.2476835501349069</x:v>
      </x:c>
      <x:c r="G23" s="53" t="n">
        <x:f>'Assumptions'!D34</x:f>
        <x:v>0.25</x:v>
      </x:c>
      <x:c r="H23" s="53" t="n">
        <x:f>'Assumptions'!E34</x:f>
        <x:v>0.247</x:v>
      </x:c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50" t="str">
        <x:v>S&amp;M / revenue</x:v>
      </x:c>
      <x:c r="D24" s="53" t="n">
        <x:f>D27/D14</x:f>
        <x:v>0.43863018518833824</x:v>
      </x:c>
      <x:c r="E24" s="53" t="n">
        <x:f>D24</x:f>
        <x:v>0.43863018518833824</x:v>
      </x:c>
      <x:c r="F24" s="53" t="n">
        <x:f>F27/F14</x:f>
        <x:v>0.43620659398512734</x:v>
      </x:c>
      <x:c r="G24" s="53" t="n">
        <x:f>'Assumptions'!D38</x:f>
        <x:v>0.435</x:v>
      </x:c>
      <x:c r="H24" s="53" t="n">
        <x:f>'Assumptions'!E38</x:f>
        <x:v>0.433</x:v>
      </x:c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50" t="str">
        <x:v>G&amp;A / revenue</x:v>
      </x:c>
      <x:c r="D25" s="53" t="n">
        <x:f>D28/D14</x:f>
        <x:v>0.09720827019449597</x:v>
      </x:c>
      <x:c r="E25" s="53" t="n">
        <x:f>D25</x:f>
        <x:v>0.09720827019449597</x:v>
      </x:c>
      <x:c r="F25" s="53" t="n">
        <x:f>F28/F14</x:f>
        <x:v>0.09096452936144077</x:v>
      </x:c>
      <x:c r="G25" s="53" t="n">
        <x:f>'Assumptions'!D42</x:f>
        <x:v>0.091</x:v>
      </x:c>
      <x:c r="H25" s="53" t="n">
        <x:f>'Assumptions'!E42</x:f>
        <x:v>0.09</x:v>
      </x:c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2" t="str">
        <x:v>Research and development</x:v>
      </x:c>
      <x:c r="D26" s="39" t="n">
        <x:f>'Source actuals'!E11-'Source actuals'!D11</x:f>
        <x:v>234.194</x:v>
      </x:c>
      <x:c r="E26" s="39" t="n">
        <x:f>E14*E23</x:f>
        <x:v>238.5815072730265</x:v>
      </x:c>
      <x:c r="F26" s="39" t="n">
        <x:f>'Source actuals'!D11</x:f>
        <x:v>225.823</x:v>
      </x:c>
      <x:c r="G26" s="39" t="n">
        <x:f>G14*G23</x:f>
        <x:v>234.6802080657579</x:v>
      </x:c>
      <x:c r="H26" s="39" t="n">
        <x:f>H14*H23</x:f>
        <x:v>239.56652082101147</x:v>
      </x:c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" t="str">
        <x:v>Sales and marketing</x:v>
      </x:c>
      <x:c r="D27" s="39" t="n">
        <x:f>'Source actuals'!E12-'Source actuals'!D12</x:f>
        <x:v>386.43100000000004</x:v>
      </x:c>
      <x:c r="E27" s="39" t="n">
        <x:f>E14*E24</x:f>
        <x:v>393.6705912065336</x:v>
      </x:c>
      <x:c r="F27" s="39" t="n">
        <x:f>'Source actuals'!D12</x:f>
        <x:v>397.707</x:v>
      </x:c>
      <x:c r="G27" s="39" t="n">
        <x:f>G14*G24</x:f>
        <x:v>408.34356203441877</x:v>
      </x:c>
      <x:c r="H27" s="39" t="n">
        <x:f>H14*H24</x:f>
        <x:v>419.9688401437165</x:v>
      </x:c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" t="str">
        <x:v>General and administrative</x:v>
      </x:c>
      <x:c r="D28" s="39" t="n">
        <x:f>'Source actuals'!E13-'Source actuals'!D13</x:f>
        <x:v>85.63999999999999</x:v>
      </x:c>
      <x:c r="E28" s="39" t="n">
        <x:f>E14*E25</x:f>
        <x:v>87.24442249956013</x:v>
      </x:c>
      <x:c r="F28" s="39" t="n">
        <x:f>'Source actuals'!D13</x:f>
        <x:v>82.936</x:v>
      </x:c>
      <x:c r="G28" s="39" t="n">
        <x:f>G14*G25</x:f>
        <x:v>85.42359573593588</x:v>
      </x:c>
      <x:c r="H28" s="39" t="n">
        <x:f>H14*H25</x:f>
        <x:v>87.29144483356693</x:v>
      </x:c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" t="str">
        <x:v>Restructuring</x:v>
      </x:c>
      <x:c r="D29" s="39" t="n">
        <x:f>'Source actuals'!E14-'Source actuals'!D14</x:f>
        <x:v>1.093</x:v>
      </x:c>
      <x:c r="E29" s="39" t="n">
        <x:f>D29</x:f>
        <x:v>1.093</x:v>
      </x:c>
      <x:c r="F29" s="39" t="n">
        <x:f>'Source actuals'!D14</x:f>
        <x:v>1.076</x:v>
      </x:c>
      <x:c r="G29" s="39" t="n">
        <x:f>'Assumptions'!D46</x:f>
        <x:v>1.1</x:v>
      </x:c>
      <x:c r="H29" s="39" t="n">
        <x:f>'Assumptions'!E46</x:f>
        <x:v>1.1</x:v>
      </x:c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8" t="str">
        <x:v>Operating income</x:v>
      </x:c>
      <x:c r="D30" s="44" t="n">
        <x:f>D20-SUM(D26:D29)</x:f>
        <x:v>27.944000000000074</x:v>
      </x:c>
      <x:c r="E30" s="44" t="n">
        <x:f>E20-SUM(E26:E29)</x:f>
        <x:v>28.77696851308872</x:v>
      </x:c>
      <x:c r="F30" s="44" t="n">
        <x:f>F20-SUM(F26:F29)</x:f>
        <x:v>43.31899999999996</x:v>
      </x:c>
      <x:c r="G30" s="44" t="n">
        <x:f>G20-SUM(G26:G29)</x:f>
        <x:v>43.97597076804493</x:v>
      </x:c>
      <x:c r="H30" s="44" t="n">
        <x:f>H20-SUM(H26:H29)</x:f>
        <x:v>49.456321268687134</x:v>
      </x:c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50" t="str">
        <x:v>Operating margin</x:v>
      </x:c>
      <x:c r="D31" s="53" t="n">
        <x:f>D30/D14</x:f>
        <x:v>0.03171868171783049</x:v>
      </x:c>
      <x:c r="E31" s="53" t="n">
        <x:f>E30/E14</x:f>
        <x:v>0.032063474666394115</x:v>
      </x:c>
      <x:c r="F31" s="53" t="n">
        <x:f>F30/F14</x:f>
        <x:v>0.047512448724417004</x:v>
      </x:c>
      <x:c r="G31" s="53" t="n">
        <x:f>G30/G14</x:f>
        <x:v>0.046846697395677664</x:v>
      </x:c>
      <x:c r="H31" s="53" t="n">
        <x:f>H30/H14</x:f>
        <x:v>0.05099089518644597</x:v>
      </x:c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"/>
      <x:c r="D32" s="34"/>
      <x:c r="E32" s="34"/>
      <x:c r="F32" s="34"/>
      <x:c r="G32" s="34"/>
      <x:c r="H32" s="34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"/>
      <x:c r="D33" s="34"/>
      <x:c r="E33" s="34"/>
      <x:c r="F33" s="34"/>
      <x:c r="G33" s="34"/>
      <x:c r="H33" s="34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" t="str">
        <x:v>Yield is a model proxy: subscription revenue / average beginning and ending customers.</x:v>
      </x:c>
      <x:c r="D34" s="34"/>
      <x:c r="E34" s="34"/>
      <x:c r="F34" s="34"/>
      <x:c r="G34" s="34"/>
      <x:c r="H34" s="34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" t="str">
        <x:v>It differs from HubSpot's reported average subscription revenue per customer.</x:v>
      </x:c>
      <x:c r="D35" s="34"/>
      <x:c r="E35" s="34"/>
      <x:c r="F35" s="34"/>
      <x:c r="G35" s="34"/>
      <x:c r="H35" s="34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" t="str">
        <x:v>Q2 plan is an analyst illustration, not an internal HubSpot budget.</x:v>
      </x:c>
      <x:c r="D36" s="34"/>
      <x:c r="E36" s="34"/>
      <x:c r="F36" s="34"/>
      <x:c r="G36" s="34"/>
      <x:c r="H36" s="34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/>
      <x:c r="D37" s="34"/>
      <x:c r="E37" s="34"/>
      <x:c r="F37" s="34"/>
      <x:c r="G37" s="34"/>
      <x:c r="H37" s="34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"/>
      <x:c r="D38" s="34"/>
      <x:c r="E38" s="34"/>
      <x:c r="F38" s="34"/>
      <x:c r="G38" s="34"/>
      <x:c r="H38" s="34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/>
      <x:c r="D39" s="34"/>
      <x:c r="E39" s="34"/>
      <x:c r="F39" s="34"/>
      <x:c r="G39" s="34"/>
      <x:c r="H39" s="34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/>
      <x:c r="D40" s="34"/>
      <x:c r="E40" s="34"/>
      <x:c r="F40" s="34"/>
      <x:c r="G40" s="34"/>
      <x:c r="H40" s="34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"/>
      <x:c r="D41" s="34"/>
      <x:c r="E41" s="34"/>
      <x:c r="F41" s="34"/>
      <x:c r="G41" s="34"/>
      <x:c r="H41" s="34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"/>
      <x:c r="D42" s="34"/>
      <x:c r="E42" s="34"/>
      <x:c r="F42" s="34"/>
      <x:c r="G42" s="34"/>
      <x:c r="H42" s="34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"/>
      <x:c r="D43" s="34"/>
      <x:c r="E43" s="34"/>
      <x:c r="F43" s="34"/>
      <x:c r="G43" s="34"/>
      <x:c r="H43" s="34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/>
      <x:c r="D44" s="34"/>
      <x:c r="E44" s="34"/>
      <x:c r="F44" s="34"/>
      <x:c r="G44" s="34"/>
      <x:c r="H44" s="34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/>
      <x:c r="D45" s="34"/>
      <x:c r="E45" s="34"/>
      <x:c r="F45" s="34"/>
      <x:c r="G45" s="34"/>
      <x:c r="H45" s="34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"/>
      <x:c r="D46" s="34"/>
      <x:c r="E46" s="34"/>
      <x:c r="F46" s="34"/>
      <x:c r="G46" s="34"/>
      <x:c r="H46" s="34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99D70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94" hidden="0" customWidth="1"/>
    <x:col min="7" max="7" width="17" hidden="0" customWidth="1"/>
    <x:col min="8" max="8" width="17" hidden="0" customWidth="1"/>
  </x:cols>
  <x:sheetData>
    <x:row r="2" ht="27" customHeight="1">
      <x:c r="C2" s="21" t="str">
        <x:v>HubSpot source actuals</x:v>
      </x:c>
      <x:c r="D2" s="21"/>
      <x:c r="E2" s="21"/>
      <x:c r="F2" s="21"/>
      <x:c r="G2" s="21"/>
      <x:c r="H2" s="21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C3" s="22" t="str">
        <x:v>GAAP figures in USD millions; customer counts are period-end.</x:v>
      </x:c>
      <x:c r="D3" s="22"/>
      <x:c r="E3" s="22"/>
      <x:c r="F3" s="22"/>
      <x:c r="G3" s="22"/>
      <x:c r="H3" s="2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C5" s="2"/>
      <x:c r="D5" s="34"/>
      <x:c r="E5" s="34"/>
      <x:c r="F5" s="34"/>
      <x:c r="G5" s="34"/>
      <x:c r="H5" s="34"/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C6" s="24" t="str">
        <x:v>Metric</x:v>
      </x:c>
      <x:c r="D6" s="35" t="str">
        <x:v>Q2:26 actual</x:v>
      </x:c>
      <x:c r="E6" s="35" t="str">
        <x:v>H1:26 actual</x:v>
      </x:c>
      <x:c r="F6" s="34"/>
      <x:c r="G6" s="34"/>
      <x:c r="H6" s="34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C7" s="2" t="str">
        <x:v>Subscription revenue</x:v>
      </x:c>
      <x:c r="D7" s="45" t="n">
        <x:v>894.025</x:v>
      </x:c>
      <x:c r="E7" s="45" t="n">
        <x:v>1756.289</x:v>
      </x:c>
      <x:c r="F7" s="34"/>
      <x:c r="G7" s="34"/>
      <x:c r="H7" s="34"/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C8" s="2" t="str">
        <x:v>Services and other revenue</x:v>
      </x:c>
      <x:c r="D8" s="45" t="n">
        <x:v>17.715</x:v>
      </x:c>
      <x:c r="E8" s="45" t="n">
        <x:v>36.446</x:v>
      </x:c>
      <x:c r="F8" s="34"/>
      <x:c r="G8" s="34"/>
      <x:c r="H8" s="34"/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C9" s="2" t="str">
        <x:v>Subscription cost of revenue</x:v>
      </x:c>
      <x:c r="D9" s="45" t="n">
        <x:v>145.957</x:v>
      </x:c>
      <x:c r="E9" s="45" t="n">
        <x:v>274.681</x:v>
      </x:c>
      <x:c r="F9" s="34"/>
      <x:c r="G9" s="34"/>
      <x:c r="H9" s="34"/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C10" s="2" t="str">
        <x:v>Services cost of revenue</x:v>
      </x:c>
      <x:c r="D10" s="45" t="n">
        <x:v>14.922</x:v>
      </x:c>
      <x:c r="E10" s="45" t="n">
        <x:v>31.891</x:v>
      </x:c>
      <x:c r="F10" s="34"/>
      <x:c r="G10" s="34"/>
      <x:c r="H10" s="34"/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2" customHeight="1">
      <x:c r="C11" s="2" t="str">
        <x:v>Research and development</x:v>
      </x:c>
      <x:c r="D11" s="45" t="n">
        <x:v>225.823</x:v>
      </x:c>
      <x:c r="E11" s="45" t="n">
        <x:v>460.017</x:v>
      </x:c>
      <x:c r="F11" s="34"/>
      <x:c r="G11" s="34"/>
      <x:c r="H11" s="34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C12" s="2" t="str">
        <x:v>Sales and marketing</x:v>
      </x:c>
      <x:c r="D12" s="45" t="n">
        <x:v>397.707</x:v>
      </x:c>
      <x:c r="E12" s="45" t="n">
        <x:v>784.138</x:v>
      </x:c>
      <x:c r="F12" s="34"/>
      <x:c r="G12" s="34"/>
      <x:c r="H12" s="34"/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C13" s="2" t="str">
        <x:v>General and administrative</x:v>
      </x:c>
      <x:c r="D13" s="45" t="n">
        <x:v>82.936</x:v>
      </x:c>
      <x:c r="E13" s="45" t="n">
        <x:v>168.576</x:v>
      </x:c>
      <x:c r="F13" s="34"/>
      <x:c r="G13" s="34"/>
      <x:c r="H13" s="34"/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C14" s="2" t="str">
        <x:v>Restructuring</x:v>
      </x:c>
      <x:c r="D14" s="45" t="n">
        <x:v>1.076</x:v>
      </x:c>
      <x:c r="E14" s="45" t="n">
        <x:v>2.169</x:v>
      </x:c>
      <x:c r="F14" s="34"/>
      <x:c r="G14" s="34"/>
      <x:c r="H14" s="34"/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C15" s="2"/>
      <x:c r="D15" s="34"/>
      <x:c r="E15" s="34"/>
      <x:c r="F15" s="34"/>
      <x:c r="G15" s="34"/>
      <x:c r="H15" s="34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C16" s="2" t="str">
        <x:v>Q4:25 ending customers</x:v>
      </x:c>
      <x:c r="D16" s="42" t="n">
        <x:v>288706</x:v>
      </x:c>
      <x:c r="E16" s="34"/>
      <x:c r="F16" s="34"/>
      <x:c r="G16" s="34"/>
      <x:c r="H16" s="34"/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C17" s="2" t="str">
        <x:v>Q1:26 ending customers</x:v>
      </x:c>
      <x:c r="D17" s="42" t="n">
        <x:v>299458</x:v>
      </x:c>
      <x:c r="E17" s="34"/>
      <x:c r="F17" s="34"/>
      <x:c r="G17" s="34"/>
      <x:c r="H17" s="34"/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C18" s="2" t="str">
        <x:v>Q2:26 ending customers</x:v>
      </x:c>
      <x:c r="D18" s="42" t="n">
        <x:v>306446</x:v>
      </x:c>
      <x:c r="E18" s="34"/>
      <x:c r="F18" s="34"/>
      <x:c r="G18" s="34"/>
      <x:c r="H18" s="34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C19" s="2" t="str">
        <x:v>Q2:26 guidance revenue midpoint ($m)</x:v>
      </x:c>
      <x:c r="D19" s="39" t="n">
        <x:v>897.5</x:v>
      </x:c>
      <x:c r="E19" s="34"/>
      <x:c r="F19" s="34"/>
      <x:c r="G19" s="34"/>
      <x:c r="H19" s="34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2" customHeight="1">
      <x:c r="C20" s="2"/>
      <x:c r="D20" s="34"/>
      <x:c r="E20" s="34"/>
      <x:c r="F20" s="34"/>
      <x:c r="G20" s="34"/>
      <x:c r="H20" s="34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C21" s="8" t="str">
        <x:v>Source and reconciliation notes</x:v>
      </x:c>
      <x:c r="D21" s="46"/>
      <x:c r="E21" s="46"/>
      <x:c r="F21" s="46"/>
      <x:c r="G21" s="46"/>
      <x:c r="H21" s="46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C22" s="2" t="str">
        <x:v>Q1:26 GAAP actuals are H1:26 less Q2:26 in the operating model.</x:v>
      </x:c>
      <x:c r="D22" s="34"/>
      <x:c r="E22" s="34"/>
      <x:c r="F22" s="34"/>
      <x:c r="G22" s="34"/>
      <x:c r="H22" s="34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C23" s="2" t="str">
        <x:v>Q2:26 10-Q, statement of operations and customer count</x:v>
      </x:c>
      <x:c r="D23" s="34"/>
      <x:c r="E23" s="34"/>
      <x:c r="F23" s="34" t="str">
        <x:v>https://www.sec.gov/Archives/edgar/data/1404655/000119312526335232/hubs-20260630.htm</x:v>
      </x:c>
      <x:c r="G23" s="34"/>
      <x:c r="H23" s="34"/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C24" s="2" t="str">
        <x:v>Q1:26 release, ending customers and Q2 revenue guidance</x:v>
      </x:c>
      <x:c r="D24" s="34"/>
      <x:c r="E24" s="34"/>
      <x:c r="F24" s="34" t="str">
        <x:v>https://www.sec.gov/Archives/edgar/data/1404655/000119312526211923/hubs-ex99_1.htm</x:v>
      </x:c>
      <x:c r="G24" s="34"/>
      <x:c r="H24" s="34"/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C25" s="2" t="str">
        <x:v>Q4:25 release, ending customers</x:v>
      </x:c>
      <x:c r="D25" s="34"/>
      <x:c r="E25" s="34"/>
      <x:c r="F25" s="34" t="str">
        <x:v>https://www.sec.gov/Archives/edgar/data/1404655/000119312526046563/hubs-ex99_1.htm</x:v>
      </x:c>
      <x:c r="G25" s="34"/>
      <x:c r="H25" s="34"/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C26" s="2"/>
      <x:c r="D26" s="34"/>
      <x:c r="E26" s="34"/>
      <x:c r="F26" s="34"/>
      <x:c r="G26" s="34"/>
      <x:c r="H26" s="34"/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C27" s="2" t="str">
        <x:v>Source cutoff: June 30, 2026. No later actuals are included.</x:v>
      </x:c>
      <x:c r="D27" s="34"/>
      <x:c r="E27" s="34"/>
      <x:c r="F27" s="34"/>
      <x:c r="G27" s="34"/>
      <x:c r="H27" s="34"/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C28" s="2"/>
      <x:c r="D28" s="34"/>
      <x:c r="E28" s="34"/>
      <x:c r="F28" s="34"/>
      <x:c r="G28" s="34"/>
      <x:c r="H28" s="34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C29" s="2"/>
      <x:c r="D29" s="34"/>
      <x:c r="E29" s="34"/>
      <x:c r="F29" s="34"/>
      <x:c r="G29" s="34"/>
      <x:c r="H29" s="34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C30" s="2"/>
      <x:c r="D30" s="34"/>
      <x:c r="E30" s="34"/>
      <x:c r="F30" s="34"/>
      <x:c r="G30" s="34"/>
      <x:c r="H30" s="34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C31" s="2"/>
      <x:c r="D31" s="34"/>
      <x:c r="E31" s="34"/>
      <x:c r="F31" s="34"/>
      <x:c r="G31" s="34"/>
      <x:c r="H31" s="34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C32" s="2"/>
      <x:c r="D32" s="34"/>
      <x:c r="E32" s="34"/>
      <x:c r="F32" s="34"/>
      <x:c r="G32" s="34"/>
      <x:c r="H32" s="34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C33" s="2"/>
      <x:c r="D33" s="34"/>
      <x:c r="E33" s="34"/>
      <x:c r="F33" s="34"/>
      <x:c r="G33" s="34"/>
      <x:c r="H33" s="34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C34" s="2"/>
      <x:c r="D34" s="34"/>
      <x:c r="E34" s="34"/>
      <x:c r="F34" s="34"/>
      <x:c r="G34" s="34"/>
      <x:c r="H34" s="34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C35" s="2"/>
      <x:c r="D35" s="34"/>
      <x:c r="E35" s="34"/>
      <x:c r="F35" s="34"/>
      <x:c r="G35" s="34"/>
      <x:c r="H35" s="34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C36" s="2"/>
      <x:c r="D36" s="34"/>
      <x:c r="E36" s="34"/>
      <x:c r="F36" s="34"/>
      <x:c r="G36" s="34"/>
      <x:c r="H36" s="34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C37" s="2"/>
      <x:c r="D37" s="34"/>
      <x:c r="E37" s="34"/>
      <x:c r="F37" s="34"/>
      <x:c r="G37" s="34"/>
      <x:c r="H37" s="34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C38" s="2"/>
      <x:c r="D38" s="34"/>
      <x:c r="E38" s="34"/>
      <x:c r="F38" s="34"/>
      <x:c r="G38" s="34"/>
      <x:c r="H38" s="34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C39" s="2"/>
      <x:c r="D39" s="34"/>
      <x:c r="E39" s="34"/>
      <x:c r="F39" s="34"/>
      <x:c r="G39" s="34"/>
      <x:c r="H39" s="34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C40" s="2"/>
      <x:c r="D40" s="34"/>
      <x:c r="E40" s="34"/>
      <x:c r="F40" s="34"/>
      <x:c r="G40" s="34"/>
      <x:c r="H40" s="34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C41" s="2"/>
      <x:c r="D41" s="34"/>
      <x:c r="E41" s="34"/>
      <x:c r="F41" s="34"/>
      <x:c r="G41" s="34"/>
      <x:c r="H41" s="34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C42" s="2"/>
      <x:c r="D42" s="34"/>
      <x:c r="E42" s="34"/>
      <x:c r="F42" s="34"/>
      <x:c r="G42" s="34"/>
      <x:c r="H42" s="34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C43" s="2"/>
      <x:c r="D43" s="34"/>
      <x:c r="E43" s="34"/>
      <x:c r="F43" s="34"/>
      <x:c r="G43" s="34"/>
      <x:c r="H43" s="34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C44" s="2"/>
      <x:c r="D44" s="34"/>
      <x:c r="E44" s="34"/>
      <x:c r="F44" s="34"/>
      <x:c r="G44" s="34"/>
      <x:c r="H44" s="34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C45" s="2"/>
      <x:c r="D45" s="34"/>
      <x:c r="E45" s="34"/>
      <x:c r="F45" s="34"/>
      <x:c r="G45" s="34"/>
      <x:c r="H45" s="34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C46" s="2"/>
      <x:c r="D46" s="34"/>
      <x:c r="E46" s="34"/>
      <x:c r="F46" s="34"/>
      <x:c r="G46" s="34"/>
      <x:c r="H46" s="34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C47" s="2"/>
      <x:c r="D47" s="34"/>
      <x:c r="E47" s="34"/>
      <x:c r="F47" s="34"/>
      <x:c r="G47" s="34"/>
      <x:c r="H47" s="34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C48" s="2"/>
      <x:c r="D48" s="34"/>
      <x:c r="E48" s="34"/>
      <x:c r="F48" s="34"/>
      <x:c r="G48" s="34"/>
      <x:c r="H48" s="34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C49" s="2"/>
      <x:c r="D49" s="34"/>
      <x:c r="E49" s="34"/>
      <x:c r="F49" s="34"/>
      <x:c r="G49" s="34"/>
      <x:c r="H49" s="34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C50" s="2"/>
      <x:c r="D50" s="34"/>
      <x:c r="E50" s="34"/>
      <x:c r="F50" s="34"/>
      <x:c r="G50" s="34"/>
      <x:c r="H50" s="34"/>
      <x:c r="I50" s="2"/>
      <x:c r="J50" s="2"/>
      <x:c r="K50" s="2"/>
      <x:c r="L50" s="2"/>
      <x:c r="M50" s="2"/>
      <x:c r="N50" s="2"/>
      <x:c r="O50" s="2"/>
      <x:c r="P50" s="2"/>
      <x:c r="Q50" s="2"/>
    </x:row>
    <x:row r="51"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</x:sheetData>
  <x:pageMargins left="0.7" right="0.7" top="0.75" bottom="0.75" header="0.3" footer="0.3"/>
</x:worksheet>
</file>